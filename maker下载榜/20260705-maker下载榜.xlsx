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<sst xmlns="http://schemas.openxmlformats.org/spreadsheetml/2006/main" count="121" uniqueCount="33">
  <si>
    <t>TapTap Maker周新增下载前10游戏</t>
  </si>
  <si>
    <t>下载量
（万）</t>
  </si>
  <si>
    <t>关注量
（万）</t>
  </si>
  <si>
    <t>评分</t>
  </si>
  <si>
    <t>评价数量
（个）</t>
  </si>
  <si>
    <t>日均新增下载
（万）</t>
  </si>
  <si>
    <t>日均新增评价（个）</t>
  </si>
  <si>
    <t>翡翠经营模拟器</t>
  </si>
  <si>
    <t>SBTI人格测试</t>
  </si>
  <si>
    <t>切翡翠模拟器：一刀暴富</t>
  </si>
  <si>
    <t>100美元</t>
  </si>
  <si>
    <t>末日求生：搜打撤</t>
  </si>
  <si>
    <t>一刀穷一刀富，百万债主翻身路</t>
  </si>
  <si>
    <t>秘境旅人</t>
  </si>
  <si>
    <t>边境检查站</t>
  </si>
  <si>
    <t>每日塔罗</t>
  </si>
  <si>
    <t>点点宇宙</t>
  </si>
  <si>
    <t>散装武神：拼出个神器</t>
  </si>
  <si>
    <t>翡翠风云：一睹为快</t>
  </si>
  <si>
    <t>自媒体大亨</t>
  </si>
  <si>
    <t>臭水酒馆</t>
  </si>
  <si>
    <t>真实外卖模拟器</t>
  </si>
  <si>
    <t>虫族模拟器</t>
  </si>
  <si>
    <t>训练前额叶</t>
  </si>
  <si>
    <t>出海去钓鱼</t>
  </si>
  <si>
    <t>抽卡高考模拟器：无限</t>
  </si>
  <si>
    <t>天机六爻</t>
  </si>
  <si>
    <t>翡翠传奇：赌石人生模拟</t>
  </si>
  <si>
    <t>猫咪地牢搜打撤</t>
  </si>
  <si>
    <t>便当拼切物语</t>
  </si>
  <si>
    <t>历史模拟器：隆武</t>
  </si>
  <si>
    <t>从史莱姆开始：吞噬万物</t>
  </si>
  <si>
    <t>古琴大师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</si>
</sst>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0_ "/>
  </numFmts>
  <fonts count="25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18"/>
      <name val="方正小标宋简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2" fontId="3" fillId="0" borderId="2" xfId="0" applyNumberFormat="1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center" vertical="center"/>
    </xf>
    <xf numFmtId="22" fontId="3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2" fontId="3" fillId="0" borderId="2" xfId="0" applyNumberFormat="1" applyFont="1" applyFill="1" applyBorder="1" applyAlignment="1">
      <alignment horizontal="center" vertical="center"/>
    </xf>
    <xf numFmtId="22" fontId="3" fillId="0" borderId="3" xfId="0" applyNumberFormat="1" applyFont="1" applyFill="1" applyBorder="1" applyAlignment="1">
      <alignment horizontal="center" vertical="center"/>
    </xf>
    <xf numFmtId="22" fontId="3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topLeftCell="A56" workbookViewId="0">
      <selection activeCell="Q70" sqref="Q70"/>
    </sheetView>
  </sheetViews>
  <sheetFormatPr defaultColWidth="9" defaultRowHeight="13.5"/>
  <sheetData>
    <row r="1" ht="22.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 spans="1:11">
      <c r="A2" s="3"/>
      <c r="B2" s="4">
        <v>46172.9166666667</v>
      </c>
      <c r="C2" s="5"/>
      <c r="D2" s="5"/>
      <c r="E2" s="6"/>
      <c r="F2" s="4">
        <v>46180.6527777778</v>
      </c>
      <c r="G2" s="5"/>
      <c r="H2" s="5"/>
      <c r="I2" s="6"/>
      <c r="J2" s="3"/>
      <c r="K2" s="3"/>
    </row>
    <row r="3" ht="42.75" spans="1:11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1</v>
      </c>
      <c r="G3" s="8" t="s">
        <v>2</v>
      </c>
      <c r="H3" s="8" t="s">
        <v>3</v>
      </c>
      <c r="I3" s="8" t="s">
        <v>4</v>
      </c>
      <c r="J3" s="8" t="s">
        <v>5</v>
      </c>
      <c r="K3" s="9" t="s">
        <v>6</v>
      </c>
    </row>
    <row r="4" ht="14.25" spans="1:11">
      <c r="A4" s="3" t="s">
        <v>7</v>
      </c>
      <c r="B4" s="10">
        <v>6.0837</v>
      </c>
      <c r="C4" s="10">
        <v>5.782</v>
      </c>
      <c r="D4" s="11">
        <v>8.8</v>
      </c>
      <c r="E4" s="12">
        <v>138</v>
      </c>
      <c r="F4" s="10">
        <v>19.8105</v>
      </c>
      <c r="G4" s="10">
        <v>18.6698</v>
      </c>
      <c r="H4" s="11">
        <v>8.9</v>
      </c>
      <c r="I4" s="12">
        <v>451</v>
      </c>
      <c r="J4" s="13">
        <f t="shared" ref="J4:J12" si="0">(F4-B4)/($F$2-$B$2)</f>
        <v>1.77437989228211</v>
      </c>
      <c r="K4" s="12">
        <f t="shared" ref="K4:K13" si="1">(I4-E4)/($F$2-$B$2)</f>
        <v>40.4596050269765</v>
      </c>
    </row>
    <row r="5" ht="14.25" spans="1:11">
      <c r="A5" s="3" t="s">
        <v>8</v>
      </c>
      <c r="B5" s="10">
        <v>44.2088</v>
      </c>
      <c r="C5" s="10">
        <v>44.2564</v>
      </c>
      <c r="D5" s="11">
        <v>8.1</v>
      </c>
      <c r="E5" s="12">
        <v>667</v>
      </c>
      <c r="F5" s="10">
        <v>47.1407</v>
      </c>
      <c r="G5" s="10">
        <v>47.0526</v>
      </c>
      <c r="H5" s="11">
        <v>8.1</v>
      </c>
      <c r="I5" s="12">
        <v>697</v>
      </c>
      <c r="J5" s="13">
        <f t="shared" si="0"/>
        <v>0.37898886894119</v>
      </c>
      <c r="K5" s="12">
        <f t="shared" si="1"/>
        <v>3.87791741472618</v>
      </c>
    </row>
    <row r="6" ht="14.25" spans="1:11">
      <c r="A6" s="3" t="s">
        <v>9</v>
      </c>
      <c r="B6" s="10">
        <v>11.1604</v>
      </c>
      <c r="C6" s="10">
        <v>10.9206</v>
      </c>
      <c r="D6" s="11">
        <v>6.4</v>
      </c>
      <c r="E6" s="12">
        <v>161</v>
      </c>
      <c r="F6" s="10">
        <v>12.6965</v>
      </c>
      <c r="G6" s="10">
        <v>12.3666</v>
      </c>
      <c r="H6" s="11">
        <v>6.3</v>
      </c>
      <c r="I6" s="12">
        <v>179</v>
      </c>
      <c r="J6" s="13">
        <f t="shared" si="0"/>
        <v>0.198562298025363</v>
      </c>
      <c r="K6" s="12">
        <f t="shared" si="1"/>
        <v>2.32675044883571</v>
      </c>
    </row>
    <row r="7" ht="14.25" spans="1:11">
      <c r="A7" s="3" t="s">
        <v>10</v>
      </c>
      <c r="B7" s="10">
        <v>0.5028</v>
      </c>
      <c r="C7" s="10">
        <v>0.4632</v>
      </c>
      <c r="D7" s="11">
        <v>9.2</v>
      </c>
      <c r="E7" s="12">
        <v>44</v>
      </c>
      <c r="F7" s="10">
        <v>1.9043</v>
      </c>
      <c r="G7" s="10">
        <v>1.787</v>
      </c>
      <c r="H7" s="11">
        <v>8.6</v>
      </c>
      <c r="I7" s="12">
        <v>102</v>
      </c>
      <c r="J7" s="13">
        <f t="shared" si="0"/>
        <v>0.181163375224625</v>
      </c>
      <c r="K7" s="12">
        <f t="shared" si="1"/>
        <v>7.49730700180395</v>
      </c>
    </row>
    <row r="8" ht="14.25" spans="1:11">
      <c r="A8" s="3" t="s">
        <v>11</v>
      </c>
      <c r="B8" s="10">
        <v>0.4958</v>
      </c>
      <c r="C8" s="10">
        <v>0.4588</v>
      </c>
      <c r="D8" s="11">
        <v>7.5</v>
      </c>
      <c r="E8" s="12">
        <v>50</v>
      </c>
      <c r="F8" s="10">
        <v>1.8538</v>
      </c>
      <c r="G8" s="10">
        <v>1.6892</v>
      </c>
      <c r="H8" s="11">
        <v>7.7</v>
      </c>
      <c r="I8" s="12">
        <v>130</v>
      </c>
      <c r="J8" s="13">
        <f t="shared" si="0"/>
        <v>0.175540394973272</v>
      </c>
      <c r="K8" s="12">
        <f t="shared" si="1"/>
        <v>10.3411131059365</v>
      </c>
    </row>
    <row r="9" ht="14.25" spans="1:11">
      <c r="A9" s="3" t="s">
        <v>12</v>
      </c>
      <c r="B9" s="10">
        <v>0.3383</v>
      </c>
      <c r="C9" s="10">
        <v>0.3173</v>
      </c>
      <c r="D9" s="11">
        <v>7.8</v>
      </c>
      <c r="E9" s="12">
        <v>10</v>
      </c>
      <c r="F9" s="10">
        <v>1.6893</v>
      </c>
      <c r="G9" s="10">
        <v>1.5832</v>
      </c>
      <c r="H9" s="11">
        <v>8.1</v>
      </c>
      <c r="I9" s="12">
        <v>31</v>
      </c>
      <c r="J9" s="13">
        <f t="shared" si="0"/>
        <v>0.174635547576502</v>
      </c>
      <c r="K9" s="12">
        <f t="shared" si="1"/>
        <v>2.71454219030833</v>
      </c>
    </row>
    <row r="10" ht="14.25" spans="1:11">
      <c r="A10" s="3" t="s">
        <v>13</v>
      </c>
      <c r="B10" s="10">
        <v>0.0175</v>
      </c>
      <c r="C10" s="10">
        <v>0.0129</v>
      </c>
      <c r="D10" s="11">
        <v>8</v>
      </c>
      <c r="E10" s="12">
        <v>7</v>
      </c>
      <c r="F10" s="10">
        <v>1.2047</v>
      </c>
      <c r="G10" s="10">
        <v>1.0405</v>
      </c>
      <c r="H10" s="11">
        <v>7.6</v>
      </c>
      <c r="I10" s="12">
        <v>92</v>
      </c>
      <c r="J10" s="13">
        <f t="shared" si="0"/>
        <v>0.153462118492097</v>
      </c>
      <c r="K10" s="12">
        <f t="shared" si="1"/>
        <v>10.9874326750575</v>
      </c>
    </row>
    <row r="11" ht="14.25" spans="1:11">
      <c r="A11" s="3" t="s">
        <v>14</v>
      </c>
      <c r="B11" s="10">
        <v>0.0723</v>
      </c>
      <c r="C11" s="10">
        <v>0.0694</v>
      </c>
      <c r="D11" s="11">
        <v>5.2</v>
      </c>
      <c r="E11" s="12">
        <v>6</v>
      </c>
      <c r="F11" s="10">
        <v>1.1273</v>
      </c>
      <c r="G11" s="10">
        <v>1.1106</v>
      </c>
      <c r="H11" s="11">
        <v>7.1</v>
      </c>
      <c r="I11" s="12">
        <v>27</v>
      </c>
      <c r="J11" s="13">
        <f t="shared" si="0"/>
        <v>0.136373429084537</v>
      </c>
      <c r="K11" s="12">
        <f t="shared" si="1"/>
        <v>2.71454219030833</v>
      </c>
    </row>
    <row r="12" ht="14.25" spans="1:11">
      <c r="A12" s="3" t="s">
        <v>15</v>
      </c>
      <c r="B12" s="10">
        <v>9.5662</v>
      </c>
      <c r="C12" s="10">
        <v>9.4686</v>
      </c>
      <c r="D12" s="11">
        <v>7.9</v>
      </c>
      <c r="E12" s="12">
        <v>108</v>
      </c>
      <c r="F12" s="10">
        <v>10.6018</v>
      </c>
      <c r="G12" s="10">
        <v>10.4325</v>
      </c>
      <c r="H12" s="11">
        <v>7.9</v>
      </c>
      <c r="I12" s="12">
        <v>113</v>
      </c>
      <c r="J12" s="13">
        <f t="shared" si="0"/>
        <v>0.133865709156348</v>
      </c>
      <c r="K12" s="12">
        <f t="shared" si="1"/>
        <v>0.64631956912103</v>
      </c>
    </row>
    <row r="13" ht="14.25" spans="1:11">
      <c r="A13" s="3" t="s">
        <v>16</v>
      </c>
      <c r="B13" s="10">
        <v>0.269</v>
      </c>
      <c r="C13" s="10">
        <v>0.2341</v>
      </c>
      <c r="D13" s="11">
        <v>9.4</v>
      </c>
      <c r="E13" s="12">
        <v>22</v>
      </c>
      <c r="F13" s="10">
        <v>1.1983</v>
      </c>
      <c r="G13" s="10">
        <v>1.0411</v>
      </c>
      <c r="H13" s="11">
        <v>9.1</v>
      </c>
      <c r="I13" s="12">
        <v>53</v>
      </c>
      <c r="J13" s="13">
        <f>(F13-B13)/($F$2-$B$2)/10000</f>
        <v>1.20124955116835e-5</v>
      </c>
      <c r="K13" s="12">
        <f t="shared" si="1"/>
        <v>4.00718132855039</v>
      </c>
    </row>
    <row r="14" ht="14.25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4.25" spans="1:11">
      <c r="A15" s="14"/>
      <c r="B15" s="15">
        <v>46180.6527777778</v>
      </c>
      <c r="C15" s="16"/>
      <c r="D15" s="16"/>
      <c r="E15" s="17"/>
      <c r="F15" s="15">
        <v>46187.125</v>
      </c>
      <c r="G15" s="16"/>
      <c r="H15" s="16"/>
      <c r="I15" s="17"/>
      <c r="J15" s="14"/>
      <c r="K15" s="14"/>
    </row>
    <row r="16" ht="42.75" spans="1:11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1</v>
      </c>
      <c r="G16" s="19" t="s">
        <v>2</v>
      </c>
      <c r="H16" s="19" t="s">
        <v>3</v>
      </c>
      <c r="I16" s="19" t="s">
        <v>4</v>
      </c>
      <c r="J16" s="19" t="s">
        <v>5</v>
      </c>
      <c r="K16" s="20" t="s">
        <v>6</v>
      </c>
    </row>
    <row r="17" ht="14.25" spans="1:11">
      <c r="A17" s="14" t="s">
        <v>7</v>
      </c>
      <c r="B17" s="21">
        <v>19.8105</v>
      </c>
      <c r="C17" s="21">
        <v>18.6698</v>
      </c>
      <c r="D17" s="22">
        <v>8.9</v>
      </c>
      <c r="E17" s="23">
        <v>451</v>
      </c>
      <c r="F17" s="21">
        <v>32.0457</v>
      </c>
      <c r="G17" s="21">
        <v>30.1582</v>
      </c>
      <c r="H17" s="22">
        <v>8.9</v>
      </c>
      <c r="I17" s="23">
        <v>683</v>
      </c>
      <c r="J17" s="24">
        <f t="shared" ref="J17:J26" si="2">(F17-B17)/($F$15-$B$15)</f>
        <v>1.89041716738929</v>
      </c>
      <c r="K17" s="23">
        <f t="shared" ref="K17:K26" si="3">(I17-E17)/($F$15-$B$15)</f>
        <v>35.8454935623706</v>
      </c>
    </row>
    <row r="18" ht="14.25" spans="1:11">
      <c r="A18" s="14" t="s">
        <v>8</v>
      </c>
      <c r="B18" s="21">
        <v>47.1407</v>
      </c>
      <c r="C18" s="21">
        <v>47.0526</v>
      </c>
      <c r="D18" s="22">
        <v>8.1</v>
      </c>
      <c r="E18" s="23">
        <v>697</v>
      </c>
      <c r="F18" s="21">
        <v>49.4585</v>
      </c>
      <c r="G18" s="21">
        <v>49.2272</v>
      </c>
      <c r="H18" s="22">
        <v>8.1</v>
      </c>
      <c r="I18" s="23">
        <v>733</v>
      </c>
      <c r="J18" s="24">
        <f t="shared" si="2"/>
        <v>0.358115021460614</v>
      </c>
      <c r="K18" s="23">
        <f t="shared" si="3"/>
        <v>5.56223175967819</v>
      </c>
    </row>
    <row r="19" ht="14.25" spans="1:11">
      <c r="A19" s="14" t="s">
        <v>12</v>
      </c>
      <c r="B19" s="21">
        <v>1.6893</v>
      </c>
      <c r="C19" s="21">
        <v>1.5832</v>
      </c>
      <c r="D19" s="22">
        <v>8.1</v>
      </c>
      <c r="E19" s="23">
        <v>31</v>
      </c>
      <c r="F19" s="21">
        <v>3.5845</v>
      </c>
      <c r="G19" s="21">
        <v>3.3558</v>
      </c>
      <c r="H19" s="22">
        <v>7.8</v>
      </c>
      <c r="I19" s="23">
        <v>41</v>
      </c>
      <c r="J19" s="24">
        <f t="shared" si="2"/>
        <v>0.292820600859503</v>
      </c>
      <c r="K19" s="23">
        <f t="shared" si="3"/>
        <v>1.54506437768839</v>
      </c>
    </row>
    <row r="20" ht="14.25" spans="1:11">
      <c r="A20" s="14" t="s">
        <v>17</v>
      </c>
      <c r="B20" s="21">
        <v>0.0237</v>
      </c>
      <c r="C20" s="21">
        <v>0.0177</v>
      </c>
      <c r="D20" s="22">
        <v>1</v>
      </c>
      <c r="E20" s="23">
        <v>4</v>
      </c>
      <c r="F20" s="21">
        <v>1.8791</v>
      </c>
      <c r="G20" s="21">
        <v>1.6554</v>
      </c>
      <c r="H20" s="22">
        <v>8.7</v>
      </c>
      <c r="I20" s="23">
        <v>66</v>
      </c>
      <c r="J20" s="24">
        <f t="shared" si="2"/>
        <v>0.286671244636303</v>
      </c>
      <c r="K20" s="23">
        <f t="shared" si="3"/>
        <v>9.579399141668</v>
      </c>
    </row>
    <row r="21" ht="14.25" spans="1:11">
      <c r="A21" s="14" t="s">
        <v>14</v>
      </c>
      <c r="B21" s="21">
        <v>1.1273</v>
      </c>
      <c r="C21" s="21">
        <v>1.1106</v>
      </c>
      <c r="D21" s="22">
        <v>7.1</v>
      </c>
      <c r="E21" s="23">
        <v>27</v>
      </c>
      <c r="F21" s="21">
        <v>2.5442</v>
      </c>
      <c r="G21" s="21">
        <v>2.5122</v>
      </c>
      <c r="H21" s="22">
        <v>7.4</v>
      </c>
      <c r="I21" s="23">
        <v>42</v>
      </c>
      <c r="J21" s="24">
        <f t="shared" si="2"/>
        <v>0.218920171674667</v>
      </c>
      <c r="K21" s="23">
        <f t="shared" si="3"/>
        <v>2.31759656653258</v>
      </c>
    </row>
    <row r="22" ht="14.25" spans="1:11">
      <c r="A22" s="14" t="s">
        <v>10</v>
      </c>
      <c r="B22" s="21">
        <v>1.9043</v>
      </c>
      <c r="C22" s="21">
        <v>1.787</v>
      </c>
      <c r="D22" s="22">
        <v>8.6</v>
      </c>
      <c r="E22" s="23">
        <v>102</v>
      </c>
      <c r="F22" s="21">
        <v>3.1323</v>
      </c>
      <c r="G22" s="21">
        <v>2.9376</v>
      </c>
      <c r="H22" s="22">
        <v>8.6</v>
      </c>
      <c r="I22" s="23">
        <v>183</v>
      </c>
      <c r="J22" s="24">
        <f t="shared" si="2"/>
        <v>0.189733905580134</v>
      </c>
      <c r="K22" s="23">
        <f t="shared" si="3"/>
        <v>12.5150214592759</v>
      </c>
    </row>
    <row r="23" ht="14.25" spans="1:11">
      <c r="A23" s="14" t="s">
        <v>18</v>
      </c>
      <c r="B23" s="21">
        <v>0.4254</v>
      </c>
      <c r="C23" s="21">
        <v>0.3895</v>
      </c>
      <c r="D23" s="22">
        <v>8.6</v>
      </c>
      <c r="E23" s="23">
        <v>31</v>
      </c>
      <c r="F23" s="21">
        <v>1.6155</v>
      </c>
      <c r="G23" s="21">
        <v>1.4626</v>
      </c>
      <c r="H23" s="22">
        <v>8.6</v>
      </c>
      <c r="I23" s="23">
        <v>67</v>
      </c>
      <c r="J23" s="24">
        <f t="shared" si="2"/>
        <v>0.183878111588695</v>
      </c>
      <c r="K23" s="23">
        <f t="shared" si="3"/>
        <v>5.56223175967819</v>
      </c>
    </row>
    <row r="24" ht="14.25" spans="1:11">
      <c r="A24" s="14" t="s">
        <v>19</v>
      </c>
      <c r="B24" s="21">
        <v>0.8831</v>
      </c>
      <c r="C24" s="21">
        <v>0.8077</v>
      </c>
      <c r="D24" s="22">
        <v>9.1</v>
      </c>
      <c r="E24" s="23">
        <v>35</v>
      </c>
      <c r="F24" s="21">
        <v>2.0585</v>
      </c>
      <c r="G24" s="21">
        <v>1.8953</v>
      </c>
      <c r="H24" s="22">
        <v>8.7</v>
      </c>
      <c r="I24" s="23">
        <v>52</v>
      </c>
      <c r="J24" s="24">
        <f t="shared" si="2"/>
        <v>0.181606866953493</v>
      </c>
      <c r="K24" s="23">
        <f t="shared" si="3"/>
        <v>2.62660944207026</v>
      </c>
    </row>
    <row r="25" ht="14.25" spans="1:11">
      <c r="A25" s="14" t="s">
        <v>15</v>
      </c>
      <c r="B25" s="21">
        <v>10.6018</v>
      </c>
      <c r="C25" s="21">
        <v>10.4325</v>
      </c>
      <c r="D25" s="22">
        <v>7.9</v>
      </c>
      <c r="E25" s="23">
        <v>113</v>
      </c>
      <c r="F25" s="21">
        <v>11.4366</v>
      </c>
      <c r="G25" s="21">
        <v>11.1945</v>
      </c>
      <c r="H25" s="22">
        <v>8</v>
      </c>
      <c r="I25" s="23">
        <v>126</v>
      </c>
      <c r="J25" s="24">
        <f t="shared" si="2"/>
        <v>0.128981974249426</v>
      </c>
      <c r="K25" s="23">
        <f t="shared" si="3"/>
        <v>2.0085836909949</v>
      </c>
    </row>
    <row r="26" ht="14.25" spans="1:11">
      <c r="A26" s="14" t="s">
        <v>20</v>
      </c>
      <c r="B26" s="21">
        <v>0.0541</v>
      </c>
      <c r="C26" s="21">
        <v>0.0476</v>
      </c>
      <c r="D26" s="22">
        <v>9.5</v>
      </c>
      <c r="E26" s="23">
        <v>8</v>
      </c>
      <c r="F26" s="21">
        <v>0.8123</v>
      </c>
      <c r="G26" s="21">
        <v>0.7402</v>
      </c>
      <c r="H26" s="22">
        <v>9.3</v>
      </c>
      <c r="I26" s="23">
        <v>37</v>
      </c>
      <c r="J26" s="24">
        <f t="shared" si="2"/>
        <v>0.117146781116333</v>
      </c>
      <c r="K26" s="23">
        <f t="shared" si="3"/>
        <v>4.48068669529632</v>
      </c>
    </row>
    <row r="27" ht="14.25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ht="14.25" spans="1:11">
      <c r="A28" s="14"/>
      <c r="B28" s="15">
        <v>46187.125</v>
      </c>
      <c r="C28" s="16"/>
      <c r="D28" s="16"/>
      <c r="E28" s="17"/>
      <c r="F28" s="15">
        <v>46194.125</v>
      </c>
      <c r="G28" s="16"/>
      <c r="H28" s="16"/>
      <c r="I28" s="17"/>
      <c r="J28" s="14"/>
      <c r="K28" s="14"/>
    </row>
    <row r="29" ht="42.75" spans="1:11">
      <c r="A29" s="18"/>
      <c r="B29" s="19" t="s">
        <v>1</v>
      </c>
      <c r="C29" s="19" t="s">
        <v>2</v>
      </c>
      <c r="D29" s="19" t="s">
        <v>3</v>
      </c>
      <c r="E29" s="19" t="s">
        <v>4</v>
      </c>
      <c r="F29" s="19" t="s">
        <v>1</v>
      </c>
      <c r="G29" s="19" t="s">
        <v>2</v>
      </c>
      <c r="H29" s="19" t="s">
        <v>3</v>
      </c>
      <c r="I29" s="19" t="s">
        <v>4</v>
      </c>
      <c r="J29" s="19" t="s">
        <v>5</v>
      </c>
      <c r="K29" s="20" t="s">
        <v>6</v>
      </c>
    </row>
    <row r="30" ht="14.25" spans="1:11">
      <c r="A30" s="14" t="s">
        <v>7</v>
      </c>
      <c r="B30" s="21">
        <v>32.0457</v>
      </c>
      <c r="C30" s="21">
        <v>30.1582</v>
      </c>
      <c r="D30" s="22">
        <v>8.9</v>
      </c>
      <c r="E30" s="23">
        <v>683</v>
      </c>
      <c r="F30" s="21">
        <v>45.0059</v>
      </c>
      <c r="G30" s="21">
        <v>42.3585</v>
      </c>
      <c r="H30" s="22">
        <v>8.8</v>
      </c>
      <c r="I30" s="23">
        <v>916</v>
      </c>
      <c r="J30" s="24">
        <f t="shared" ref="J30:J39" si="4">(F30-B30)/($F$15-$B$15)</f>
        <v>2.0024343347717</v>
      </c>
      <c r="K30" s="23">
        <f t="shared" ref="K30:K39" si="5">(I30-E30)/($F$15-$B$15)</f>
        <v>36.0000000001394</v>
      </c>
    </row>
    <row r="31" ht="14.25" spans="1:11">
      <c r="A31" s="14" t="s">
        <v>8</v>
      </c>
      <c r="B31" s="21">
        <v>49.4585</v>
      </c>
      <c r="C31" s="21">
        <v>49.2272</v>
      </c>
      <c r="D31" s="22">
        <v>8.1</v>
      </c>
      <c r="E31" s="23">
        <v>733</v>
      </c>
      <c r="F31" s="21">
        <v>52.2099</v>
      </c>
      <c r="G31" s="21">
        <v>51.8337</v>
      </c>
      <c r="H31" s="22">
        <v>8.1</v>
      </c>
      <c r="I31" s="23">
        <v>769</v>
      </c>
      <c r="J31" s="24">
        <f t="shared" si="4"/>
        <v>0.425109012877182</v>
      </c>
      <c r="K31" s="23">
        <f t="shared" si="5"/>
        <v>5.56223175967819</v>
      </c>
    </row>
    <row r="32" ht="14.25" spans="1:11">
      <c r="A32" s="14" t="s">
        <v>14</v>
      </c>
      <c r="B32" s="21">
        <v>2.5442</v>
      </c>
      <c r="C32" s="21">
        <v>2.5122</v>
      </c>
      <c r="D32" s="22">
        <v>7.4</v>
      </c>
      <c r="E32" s="23">
        <v>42</v>
      </c>
      <c r="F32" s="21">
        <v>4.1036</v>
      </c>
      <c r="G32" s="21">
        <v>4.0757</v>
      </c>
      <c r="H32" s="22">
        <v>7.4</v>
      </c>
      <c r="I32" s="23">
        <v>54</v>
      </c>
      <c r="J32" s="24">
        <f t="shared" si="4"/>
        <v>0.240937339056727</v>
      </c>
      <c r="K32" s="23">
        <f t="shared" si="5"/>
        <v>1.85407725322606</v>
      </c>
    </row>
    <row r="33" ht="14.25" spans="1:11">
      <c r="A33" s="14" t="s">
        <v>17</v>
      </c>
      <c r="B33" s="21">
        <v>1.8791</v>
      </c>
      <c r="C33" s="21">
        <v>1.6554</v>
      </c>
      <c r="D33" s="22">
        <v>8.7</v>
      </c>
      <c r="E33" s="23">
        <v>66</v>
      </c>
      <c r="F33" s="21">
        <v>3.1133</v>
      </c>
      <c r="G33" s="21">
        <v>2.7437</v>
      </c>
      <c r="H33" s="22">
        <v>8.6</v>
      </c>
      <c r="I33" s="23">
        <v>92</v>
      </c>
      <c r="J33" s="24">
        <f t="shared" si="4"/>
        <v>0.190691845494301</v>
      </c>
      <c r="K33" s="23">
        <f t="shared" si="5"/>
        <v>4.0171673819898</v>
      </c>
    </row>
    <row r="34" ht="14.25" spans="1:11">
      <c r="A34" s="14" t="s">
        <v>12</v>
      </c>
      <c r="B34" s="21">
        <v>3.5845</v>
      </c>
      <c r="C34" s="21">
        <v>3.3558</v>
      </c>
      <c r="D34" s="22">
        <v>7.8</v>
      </c>
      <c r="E34" s="23">
        <v>41</v>
      </c>
      <c r="F34" s="21">
        <v>4.6833</v>
      </c>
      <c r="G34" s="21">
        <v>4.3926</v>
      </c>
      <c r="H34" s="22">
        <v>7.8</v>
      </c>
      <c r="I34" s="23">
        <v>47</v>
      </c>
      <c r="J34" s="24">
        <f t="shared" si="4"/>
        <v>0.1697716738204</v>
      </c>
      <c r="K34" s="23">
        <f t="shared" si="5"/>
        <v>0.927038626613032</v>
      </c>
    </row>
    <row r="35" ht="14.25" spans="1:11">
      <c r="A35" s="14" t="s">
        <v>15</v>
      </c>
      <c r="B35" s="21">
        <v>11.4366</v>
      </c>
      <c r="C35" s="21">
        <v>11.1945</v>
      </c>
      <c r="D35" s="22">
        <v>8</v>
      </c>
      <c r="E35" s="23">
        <v>126</v>
      </c>
      <c r="F35" s="21">
        <v>12.4023</v>
      </c>
      <c r="G35" s="21">
        <v>12.0901</v>
      </c>
      <c r="H35" s="22">
        <v>8</v>
      </c>
      <c r="I35" s="23">
        <v>135</v>
      </c>
      <c r="J35" s="24">
        <f t="shared" si="4"/>
        <v>0.149206866953367</v>
      </c>
      <c r="K35" s="23">
        <f t="shared" si="5"/>
        <v>1.39055793991955</v>
      </c>
    </row>
    <row r="36" ht="14.25" spans="1:11">
      <c r="A36" s="14" t="s">
        <v>21</v>
      </c>
      <c r="B36" s="21">
        <v>11.755</v>
      </c>
      <c r="C36" s="21">
        <v>11.3963</v>
      </c>
      <c r="D36" s="22">
        <v>7.5</v>
      </c>
      <c r="E36" s="23">
        <v>283</v>
      </c>
      <c r="F36" s="21">
        <v>12.6813</v>
      </c>
      <c r="G36" s="21">
        <v>12.2535</v>
      </c>
      <c r="H36" s="22">
        <v>7.5</v>
      </c>
      <c r="I36" s="23">
        <v>296</v>
      </c>
      <c r="J36" s="24">
        <f t="shared" si="4"/>
        <v>0.143119313305275</v>
      </c>
      <c r="K36" s="23">
        <f t="shared" si="5"/>
        <v>2.0085836909949</v>
      </c>
    </row>
    <row r="37" ht="14.25" spans="1:11">
      <c r="A37" s="14" t="s">
        <v>18</v>
      </c>
      <c r="B37" s="21">
        <v>1.6155</v>
      </c>
      <c r="C37" s="21">
        <v>1.4626</v>
      </c>
      <c r="D37" s="22">
        <v>8.6</v>
      </c>
      <c r="E37" s="23">
        <v>67</v>
      </c>
      <c r="F37" s="21">
        <v>2.4315</v>
      </c>
      <c r="G37" s="21">
        <v>2.196</v>
      </c>
      <c r="H37" s="22">
        <v>8.6</v>
      </c>
      <c r="I37" s="23">
        <v>96</v>
      </c>
      <c r="J37" s="24">
        <f t="shared" si="4"/>
        <v>0.126077253219372</v>
      </c>
      <c r="K37" s="23">
        <f t="shared" si="5"/>
        <v>4.48068669529632</v>
      </c>
    </row>
    <row r="38" ht="14.25" spans="1:11">
      <c r="A38" s="14" t="s">
        <v>20</v>
      </c>
      <c r="B38" s="21">
        <v>0.8123</v>
      </c>
      <c r="C38" s="21">
        <v>0.7402</v>
      </c>
      <c r="D38" s="22">
        <v>9.3</v>
      </c>
      <c r="E38" s="23">
        <v>37</v>
      </c>
      <c r="F38" s="21">
        <v>1.6263</v>
      </c>
      <c r="G38" s="21">
        <v>1.485</v>
      </c>
      <c r="H38" s="22">
        <v>9.4</v>
      </c>
      <c r="I38" s="23">
        <v>62</v>
      </c>
      <c r="J38" s="24">
        <f t="shared" si="4"/>
        <v>0.125768240343835</v>
      </c>
      <c r="K38" s="23">
        <f t="shared" si="5"/>
        <v>3.86266094422097</v>
      </c>
    </row>
    <row r="39" ht="14.25" spans="1:11">
      <c r="A39" s="14" t="s">
        <v>22</v>
      </c>
      <c r="B39" s="21">
        <v>5.1303</v>
      </c>
      <c r="C39" s="21">
        <v>4.6849</v>
      </c>
      <c r="D39" s="22">
        <v>8.5</v>
      </c>
      <c r="E39" s="23">
        <v>100</v>
      </c>
      <c r="F39" s="21">
        <v>5.9349</v>
      </c>
      <c r="G39" s="21">
        <v>5.4126</v>
      </c>
      <c r="H39" s="22">
        <v>8.6</v>
      </c>
      <c r="I39" s="23">
        <v>117</v>
      </c>
      <c r="J39" s="24">
        <f t="shared" si="4"/>
        <v>0.124315879828808</v>
      </c>
      <c r="K39" s="23">
        <f t="shared" si="5"/>
        <v>2.62660944207026</v>
      </c>
    </row>
    <row r="40" ht="14.25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ht="14.25" spans="1:11">
      <c r="A41" s="14"/>
      <c r="B41" s="15">
        <v>46194.125</v>
      </c>
      <c r="C41" s="16"/>
      <c r="D41" s="16"/>
      <c r="E41" s="17"/>
      <c r="F41" s="15">
        <v>46201.125</v>
      </c>
      <c r="G41" s="16"/>
      <c r="H41" s="16"/>
      <c r="I41" s="17"/>
      <c r="J41" s="14"/>
      <c r="K41" s="14"/>
    </row>
    <row r="42" ht="42.75" spans="1:11">
      <c r="A42" s="18"/>
      <c r="B42" s="19" t="s">
        <v>1</v>
      </c>
      <c r="C42" s="19" t="s">
        <v>2</v>
      </c>
      <c r="D42" s="19" t="s">
        <v>3</v>
      </c>
      <c r="E42" s="19" t="s">
        <v>4</v>
      </c>
      <c r="F42" s="19" t="s">
        <v>1</v>
      </c>
      <c r="G42" s="19" t="s">
        <v>2</v>
      </c>
      <c r="H42" s="19" t="s">
        <v>3</v>
      </c>
      <c r="I42" s="19" t="s">
        <v>4</v>
      </c>
      <c r="J42" s="19" t="s">
        <v>5</v>
      </c>
      <c r="K42" s="20" t="s">
        <v>6</v>
      </c>
    </row>
    <row r="43" ht="14.25" spans="1:11">
      <c r="A43" s="14" t="s">
        <v>7</v>
      </c>
      <c r="B43" s="21">
        <v>45.0059</v>
      </c>
      <c r="C43" s="21">
        <v>42.3585</v>
      </c>
      <c r="D43" s="22">
        <v>8.8</v>
      </c>
      <c r="E43" s="23">
        <v>916</v>
      </c>
      <c r="F43" s="21">
        <v>55.1491</v>
      </c>
      <c r="G43" s="21">
        <v>51.7231</v>
      </c>
      <c r="H43" s="22">
        <v>8.8</v>
      </c>
      <c r="I43" s="23">
        <v>1101</v>
      </c>
      <c r="J43" s="24">
        <f t="shared" ref="J43:J52" si="6">(F43-B43)/($F$15-$B$15)</f>
        <v>1.56718969957688</v>
      </c>
      <c r="K43" s="23">
        <f t="shared" ref="K43:K52" si="7">(I43-E43)/($F$15-$B$15)</f>
        <v>28.5836909872351</v>
      </c>
    </row>
    <row r="44" ht="14.25" spans="1:11">
      <c r="A44" s="14" t="s">
        <v>23</v>
      </c>
      <c r="B44" s="21">
        <v>0.1027</v>
      </c>
      <c r="C44" s="21">
        <v>0.0985</v>
      </c>
      <c r="D44" s="22">
        <v>9.8</v>
      </c>
      <c r="E44" s="23">
        <v>15</v>
      </c>
      <c r="F44" s="21">
        <v>3.3118</v>
      </c>
      <c r="G44" s="21">
        <v>3.1685</v>
      </c>
      <c r="H44" s="22">
        <v>9.8</v>
      </c>
      <c r="I44" s="23">
        <v>151</v>
      </c>
      <c r="J44" s="24">
        <f t="shared" si="6"/>
        <v>0.49582660944398</v>
      </c>
      <c r="K44" s="23">
        <f t="shared" si="7"/>
        <v>21.0128755365621</v>
      </c>
    </row>
    <row r="45" ht="14.25" spans="1:11">
      <c r="A45" s="14" t="s">
        <v>8</v>
      </c>
      <c r="B45" s="21">
        <v>52.2099</v>
      </c>
      <c r="C45" s="21">
        <v>51.8337</v>
      </c>
      <c r="D45" s="22">
        <v>8.1</v>
      </c>
      <c r="E45" s="23">
        <v>769</v>
      </c>
      <c r="F45" s="21">
        <v>55.3916</v>
      </c>
      <c r="G45" s="21">
        <v>54.8192</v>
      </c>
      <c r="H45" s="22">
        <v>8.2</v>
      </c>
      <c r="I45" s="23">
        <v>825</v>
      </c>
      <c r="J45" s="24">
        <f t="shared" si="6"/>
        <v>0.491593133049114</v>
      </c>
      <c r="K45" s="23">
        <f t="shared" si="7"/>
        <v>8.65236051505496</v>
      </c>
    </row>
    <row r="46" ht="14.25" spans="1:11">
      <c r="A46" s="14" t="s">
        <v>24</v>
      </c>
      <c r="B46" s="21">
        <v>0.4838</v>
      </c>
      <c r="C46" s="21">
        <v>0.4697</v>
      </c>
      <c r="D46" s="22">
        <v>9.1</v>
      </c>
      <c r="E46" s="23">
        <v>10</v>
      </c>
      <c r="F46" s="21">
        <v>3.4594</v>
      </c>
      <c r="G46" s="21">
        <v>3.2835</v>
      </c>
      <c r="H46" s="22">
        <v>8.5</v>
      </c>
      <c r="I46" s="23">
        <v>59</v>
      </c>
      <c r="J46" s="24">
        <f t="shared" si="6"/>
        <v>0.459749356224956</v>
      </c>
      <c r="K46" s="23">
        <f t="shared" si="7"/>
        <v>7.57081545067309</v>
      </c>
    </row>
    <row r="47" ht="14.25" spans="1:11">
      <c r="A47" s="14" t="s">
        <v>25</v>
      </c>
      <c r="B47" s="21">
        <v>0.5255</v>
      </c>
      <c r="C47" s="21">
        <v>0.4969</v>
      </c>
      <c r="D47" s="22">
        <v>9.2</v>
      </c>
      <c r="E47" s="23">
        <v>14</v>
      </c>
      <c r="F47" s="21">
        <v>3.1247</v>
      </c>
      <c r="G47" s="21">
        <v>2.9409</v>
      </c>
      <c r="H47" s="22">
        <v>7.3</v>
      </c>
      <c r="I47" s="23">
        <v>38</v>
      </c>
      <c r="J47" s="24">
        <f t="shared" si="6"/>
        <v>0.401593133048765</v>
      </c>
      <c r="K47" s="23">
        <f t="shared" si="7"/>
        <v>3.70815450645213</v>
      </c>
    </row>
    <row r="48" ht="14.25" spans="1:11">
      <c r="A48" s="14" t="s">
        <v>26</v>
      </c>
      <c r="B48" s="21">
        <v>0.6324</v>
      </c>
      <c r="C48" s="21">
        <v>0.6052</v>
      </c>
      <c r="D48" s="22">
        <v>9.4</v>
      </c>
      <c r="E48" s="23">
        <v>22</v>
      </c>
      <c r="F48" s="21">
        <v>2.7621</v>
      </c>
      <c r="G48" s="21">
        <v>2.6265</v>
      </c>
      <c r="H48" s="22">
        <v>9.2</v>
      </c>
      <c r="I48" s="23">
        <v>84</v>
      </c>
      <c r="J48" s="24">
        <f t="shared" si="6"/>
        <v>0.329052360516296</v>
      </c>
      <c r="K48" s="23">
        <f t="shared" si="7"/>
        <v>9.579399141668</v>
      </c>
    </row>
    <row r="49" ht="14.25" spans="1:11">
      <c r="A49" s="14" t="s">
        <v>14</v>
      </c>
      <c r="B49" s="21">
        <v>4.1036</v>
      </c>
      <c r="C49" s="21">
        <v>4.0757</v>
      </c>
      <c r="D49" s="22">
        <v>7.4</v>
      </c>
      <c r="E49" s="23">
        <v>54</v>
      </c>
      <c r="F49" s="21">
        <v>5.8091</v>
      </c>
      <c r="G49" s="21">
        <v>5.7621</v>
      </c>
      <c r="H49" s="22">
        <v>7.1</v>
      </c>
      <c r="I49" s="23">
        <v>67</v>
      </c>
      <c r="J49" s="24">
        <f t="shared" si="6"/>
        <v>0.263510729614754</v>
      </c>
      <c r="K49" s="23">
        <f t="shared" si="7"/>
        <v>2.0085836909949</v>
      </c>
    </row>
    <row r="50" ht="14.25" spans="1:11">
      <c r="A50" s="14" t="s">
        <v>27</v>
      </c>
      <c r="B50" s="21">
        <v>0.8619</v>
      </c>
      <c r="C50" s="21">
        <v>0.7997</v>
      </c>
      <c r="D50" s="22">
        <v>9.4</v>
      </c>
      <c r="E50" s="23">
        <v>48</v>
      </c>
      <c r="F50" s="21">
        <v>2.1259</v>
      </c>
      <c r="G50" s="21">
        <v>1.9595</v>
      </c>
      <c r="H50" s="22">
        <v>8.9</v>
      </c>
      <c r="I50" s="23">
        <v>100</v>
      </c>
      <c r="J50" s="24">
        <f t="shared" si="6"/>
        <v>0.195296137339812</v>
      </c>
      <c r="K50" s="23">
        <f t="shared" si="7"/>
        <v>8.03433476397961</v>
      </c>
    </row>
    <row r="51" ht="14.25" spans="1:11">
      <c r="A51" s="14" t="s">
        <v>28</v>
      </c>
      <c r="B51" s="21">
        <v>0.3606</v>
      </c>
      <c r="C51" s="21">
        <v>0.3105</v>
      </c>
      <c r="D51" s="22">
        <v>8.7</v>
      </c>
      <c r="E51" s="23">
        <v>47</v>
      </c>
      <c r="F51" s="21">
        <v>1.6217</v>
      </c>
      <c r="G51" s="21">
        <v>1.3991</v>
      </c>
      <c r="H51" s="22">
        <v>8.2</v>
      </c>
      <c r="I51" s="23">
        <v>99</v>
      </c>
      <c r="J51" s="24">
        <f t="shared" si="6"/>
        <v>0.194848068670282</v>
      </c>
      <c r="K51" s="23">
        <f t="shared" si="7"/>
        <v>8.03433476397961</v>
      </c>
    </row>
    <row r="52" ht="14.25" spans="1:11">
      <c r="A52" s="14" t="s">
        <v>15</v>
      </c>
      <c r="B52" s="21">
        <v>12.4023</v>
      </c>
      <c r="C52" s="21">
        <v>12.0901</v>
      </c>
      <c r="D52" s="22">
        <v>8</v>
      </c>
      <c r="E52" s="23">
        <v>135</v>
      </c>
      <c r="F52" s="21">
        <v>13.2985</v>
      </c>
      <c r="G52" s="21">
        <v>12.9004</v>
      </c>
      <c r="H52" s="22">
        <v>7.9</v>
      </c>
      <c r="I52" s="23">
        <v>142</v>
      </c>
      <c r="J52" s="24">
        <f t="shared" si="6"/>
        <v>0.138468669528433</v>
      </c>
      <c r="K52" s="23">
        <f t="shared" si="7"/>
        <v>1.08154506438187</v>
      </c>
    </row>
    <row r="53" ht="14.25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ht="14.25" spans="1:11">
      <c r="A54" s="14"/>
      <c r="B54" s="15">
        <v>46201.125</v>
      </c>
      <c r="C54" s="16"/>
      <c r="D54" s="16"/>
      <c r="E54" s="17"/>
      <c r="F54" s="15">
        <v>46208.125</v>
      </c>
      <c r="G54" s="16"/>
      <c r="H54" s="16"/>
      <c r="I54" s="17"/>
      <c r="J54" s="14"/>
      <c r="K54" s="14"/>
    </row>
    <row r="55" ht="42.75" spans="1:11">
      <c r="A55" s="18"/>
      <c r="B55" s="19" t="s">
        <v>1</v>
      </c>
      <c r="C55" s="19" t="s">
        <v>2</v>
      </c>
      <c r="D55" s="19" t="s">
        <v>3</v>
      </c>
      <c r="E55" s="19" t="s">
        <v>4</v>
      </c>
      <c r="F55" s="19" t="s">
        <v>1</v>
      </c>
      <c r="G55" s="19" t="s">
        <v>2</v>
      </c>
      <c r="H55" s="19" t="s">
        <v>3</v>
      </c>
      <c r="I55" s="19" t="s">
        <v>4</v>
      </c>
      <c r="J55" s="19" t="s">
        <v>5</v>
      </c>
      <c r="K55" s="20" t="s">
        <v>6</v>
      </c>
    </row>
    <row r="56" ht="14.25" spans="1:11">
      <c r="A56" s="14" t="s">
        <v>7</v>
      </c>
      <c r="B56" s="21">
        <v>55.1491</v>
      </c>
      <c r="C56" s="21">
        <v>51.7231</v>
      </c>
      <c r="D56" s="22">
        <v>8.8</v>
      </c>
      <c r="E56" s="23">
        <v>1101</v>
      </c>
      <c r="F56" s="21">
        <v>59.8462</v>
      </c>
      <c r="G56" s="21">
        <v>55.9915</v>
      </c>
      <c r="H56" s="22">
        <v>8.8</v>
      </c>
      <c r="I56" s="23">
        <v>1187</v>
      </c>
      <c r="J56" s="24">
        <f t="shared" ref="J56:J65" si="8">(F56-B56)/($F$15-$B$15)</f>
        <v>0.725732188844013</v>
      </c>
      <c r="K56" s="23">
        <f t="shared" ref="K56:K65" si="9">(I56-E56)/($F$15-$B$15)</f>
        <v>13.2875536481201</v>
      </c>
    </row>
    <row r="57" ht="14.25" spans="1:11">
      <c r="A57" s="14" t="s">
        <v>8</v>
      </c>
      <c r="B57" s="21">
        <v>55.3916</v>
      </c>
      <c r="C57" s="21">
        <v>54.8192</v>
      </c>
      <c r="D57" s="22">
        <v>8.2</v>
      </c>
      <c r="E57" s="23">
        <v>825</v>
      </c>
      <c r="F57" s="21">
        <v>57.4257</v>
      </c>
      <c r="G57" s="21">
        <v>56.7015</v>
      </c>
      <c r="H57" s="22">
        <v>8.2</v>
      </c>
      <c r="I57" s="23">
        <v>851</v>
      </c>
      <c r="J57" s="24">
        <f t="shared" si="8"/>
        <v>0.314281545065595</v>
      </c>
      <c r="K57" s="23">
        <f t="shared" si="9"/>
        <v>4.0171673819898</v>
      </c>
    </row>
    <row r="58" ht="14.25" spans="1:11">
      <c r="A58" s="14" t="s">
        <v>23</v>
      </c>
      <c r="B58" s="21">
        <v>3.3118</v>
      </c>
      <c r="C58" s="21">
        <v>3.1685</v>
      </c>
      <c r="D58" s="22">
        <v>9.8</v>
      </c>
      <c r="E58" s="23">
        <v>151</v>
      </c>
      <c r="F58" s="21">
        <v>5.1453</v>
      </c>
      <c r="G58" s="21">
        <v>4.9196</v>
      </c>
      <c r="H58" s="22">
        <v>9.6</v>
      </c>
      <c r="I58" s="23">
        <v>234</v>
      </c>
      <c r="J58" s="24">
        <f t="shared" si="8"/>
        <v>0.283287553649166</v>
      </c>
      <c r="K58" s="23">
        <f t="shared" si="9"/>
        <v>12.8240343348136</v>
      </c>
    </row>
    <row r="59" ht="14.25" spans="1:11">
      <c r="A59" s="14" t="s">
        <v>24</v>
      </c>
      <c r="B59" s="21">
        <v>3.4594</v>
      </c>
      <c r="C59" s="21">
        <v>3.2835</v>
      </c>
      <c r="D59" s="22">
        <v>8.5</v>
      </c>
      <c r="E59" s="23">
        <v>59</v>
      </c>
      <c r="F59" s="21">
        <v>4.6753</v>
      </c>
      <c r="G59" s="21">
        <v>4.4358</v>
      </c>
      <c r="H59" s="22">
        <v>8.4</v>
      </c>
      <c r="I59" s="23">
        <v>70</v>
      </c>
      <c r="J59" s="24">
        <f t="shared" si="8"/>
        <v>0.187864377683131</v>
      </c>
      <c r="K59" s="23">
        <f t="shared" si="9"/>
        <v>1.69957081545722</v>
      </c>
    </row>
    <row r="60" ht="14.25" spans="1:11">
      <c r="A60" s="14" t="s">
        <v>29</v>
      </c>
      <c r="B60" s="21">
        <v>0.1704</v>
      </c>
      <c r="C60" s="21">
        <v>0.1573</v>
      </c>
      <c r="D60" s="22">
        <v>8.8</v>
      </c>
      <c r="E60" s="23">
        <v>12</v>
      </c>
      <c r="F60" s="21">
        <v>1.3682</v>
      </c>
      <c r="G60" s="21">
        <v>1.2726</v>
      </c>
      <c r="H60" s="22">
        <v>9</v>
      </c>
      <c r="I60" s="23">
        <v>21</v>
      </c>
      <c r="J60" s="24">
        <f t="shared" si="8"/>
        <v>0.185067811159515</v>
      </c>
      <c r="K60" s="23">
        <f t="shared" si="9"/>
        <v>1.39055793991955</v>
      </c>
    </row>
    <row r="61" ht="14.25" spans="1:11">
      <c r="A61" s="14" t="s">
        <v>14</v>
      </c>
      <c r="B61" s="21">
        <v>5.8091</v>
      </c>
      <c r="C61" s="21">
        <v>5.7621</v>
      </c>
      <c r="D61" s="22">
        <v>7.1</v>
      </c>
      <c r="E61" s="23">
        <v>67</v>
      </c>
      <c r="F61" s="21">
        <v>6.8855</v>
      </c>
      <c r="G61" s="21">
        <v>6.8298</v>
      </c>
      <c r="H61" s="22">
        <v>7.1</v>
      </c>
      <c r="I61" s="23">
        <v>72</v>
      </c>
      <c r="J61" s="24">
        <f t="shared" si="8"/>
        <v>0.166310729614378</v>
      </c>
      <c r="K61" s="23">
        <f t="shared" si="9"/>
        <v>0.772532188844193</v>
      </c>
    </row>
    <row r="62" ht="14.25" spans="1:11">
      <c r="A62" s="14" t="s">
        <v>26</v>
      </c>
      <c r="B62" s="21">
        <v>2.7621</v>
      </c>
      <c r="C62" s="21">
        <v>2.6265</v>
      </c>
      <c r="D62" s="22">
        <v>9.2</v>
      </c>
      <c r="E62" s="23">
        <v>84</v>
      </c>
      <c r="F62" s="21">
        <v>3.7985</v>
      </c>
      <c r="G62" s="21">
        <v>3.5957</v>
      </c>
      <c r="H62" s="22">
        <v>9</v>
      </c>
      <c r="I62" s="23">
        <v>114</v>
      </c>
      <c r="J62" s="24">
        <f t="shared" si="8"/>
        <v>0.160130472103624</v>
      </c>
      <c r="K62" s="23">
        <f t="shared" si="9"/>
        <v>4.63519313306516</v>
      </c>
    </row>
    <row r="63" ht="14.25" spans="1:11">
      <c r="A63" s="14" t="s">
        <v>25</v>
      </c>
      <c r="B63" s="21">
        <v>3.1247</v>
      </c>
      <c r="C63" s="21">
        <v>2.9409</v>
      </c>
      <c r="D63" s="22">
        <v>7.3</v>
      </c>
      <c r="E63" s="23">
        <v>38</v>
      </c>
      <c r="F63" s="21">
        <v>3.9314</v>
      </c>
      <c r="G63" s="21">
        <v>3.6757</v>
      </c>
      <c r="H63" s="22">
        <v>7.2</v>
      </c>
      <c r="I63" s="23">
        <v>44</v>
      </c>
      <c r="J63" s="24">
        <f t="shared" si="8"/>
        <v>0.124640343348122</v>
      </c>
      <c r="K63" s="23">
        <f t="shared" si="9"/>
        <v>0.927038626613032</v>
      </c>
    </row>
    <row r="64" ht="14.25" spans="1:11">
      <c r="A64" s="14" t="s">
        <v>21</v>
      </c>
      <c r="B64" s="21">
        <v>13.5676</v>
      </c>
      <c r="C64" s="21">
        <v>13.055</v>
      </c>
      <c r="D64" s="22">
        <v>7.5</v>
      </c>
      <c r="E64" s="23">
        <v>311</v>
      </c>
      <c r="F64" s="21">
        <v>14.3028</v>
      </c>
      <c r="G64" s="21">
        <v>13.7316</v>
      </c>
      <c r="H64" s="22">
        <v>7.5</v>
      </c>
      <c r="I64" s="23">
        <v>322</v>
      </c>
      <c r="J64" s="24">
        <f t="shared" si="8"/>
        <v>0.11359313304765</v>
      </c>
      <c r="K64" s="23">
        <f t="shared" si="9"/>
        <v>1.69957081545722</v>
      </c>
    </row>
    <row r="65" ht="14.25" spans="1:11">
      <c r="A65" s="14" t="s">
        <v>30</v>
      </c>
      <c r="B65" s="21">
        <v>0.3844</v>
      </c>
      <c r="C65" s="21">
        <v>0.3504</v>
      </c>
      <c r="D65" s="22">
        <v>7.6</v>
      </c>
      <c r="E65" s="23">
        <v>55</v>
      </c>
      <c r="F65" s="21">
        <v>1.0758</v>
      </c>
      <c r="G65" s="21">
        <v>0.9854</v>
      </c>
      <c r="H65" s="22">
        <v>7.5</v>
      </c>
      <c r="I65" s="23">
        <v>73</v>
      </c>
      <c r="J65" s="24">
        <f t="shared" si="8"/>
        <v>0.106825751073375</v>
      </c>
      <c r="K65" s="23">
        <f t="shared" si="9"/>
        <v>2.78111587983909</v>
      </c>
    </row>
    <row r="66" ht="14.25" spans="1:1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ht="14.25" spans="1:11">
      <c r="A67" s="14"/>
      <c r="B67" s="15">
        <v>46208.125</v>
      </c>
      <c r="C67" s="16"/>
      <c r="D67" s="16"/>
      <c r="E67" s="17"/>
      <c r="F67" s="15">
        <v>46215.125</v>
      </c>
      <c r="G67" s="16"/>
      <c r="H67" s="16"/>
      <c r="I67" s="17"/>
      <c r="J67" s="14"/>
      <c r="K67" s="14"/>
    </row>
    <row r="68" ht="42.75" spans="1:11">
      <c r="A68" s="18"/>
      <c r="B68" s="19" t="s">
        <v>1</v>
      </c>
      <c r="C68" s="19" t="s">
        <v>2</v>
      </c>
      <c r="D68" s="19" t="s">
        <v>3</v>
      </c>
      <c r="E68" s="19" t="s">
        <v>4</v>
      </c>
      <c r="F68" s="19" t="s">
        <v>1</v>
      </c>
      <c r="G68" s="19" t="s">
        <v>2</v>
      </c>
      <c r="H68" s="19" t="s">
        <v>3</v>
      </c>
      <c r="I68" s="19" t="s">
        <v>4</v>
      </c>
      <c r="J68" s="19" t="s">
        <v>5</v>
      </c>
      <c r="K68" s="20" t="s">
        <v>6</v>
      </c>
    </row>
    <row r="69" ht="14.25" spans="1:11">
      <c r="A69" s="14" t="s">
        <v>7</v>
      </c>
      <c r="B69" s="21">
        <v>59.8462</v>
      </c>
      <c r="C69" s="21">
        <v>55.9915</v>
      </c>
      <c r="D69" s="22">
        <v>8.8</v>
      </c>
      <c r="E69" s="23">
        <v>1187</v>
      </c>
      <c r="F69" s="21">
        <v>65.0126</v>
      </c>
      <c r="G69" s="21">
        <v>60.663</v>
      </c>
      <c r="H69" s="22">
        <v>8.8</v>
      </c>
      <c r="I69" s="23">
        <v>1289</v>
      </c>
      <c r="J69" s="24">
        <f t="shared" ref="J69:J78" si="10">(F69-B69)/($F$15-$B$15)</f>
        <v>0.798242060088928</v>
      </c>
      <c r="K69" s="23">
        <f t="shared" ref="K69:K78" si="11">(I69-E69)/($F$15-$B$15)</f>
        <v>15.7596566524215</v>
      </c>
    </row>
    <row r="70" ht="14.25" spans="1:11">
      <c r="A70" s="14" t="s">
        <v>8</v>
      </c>
      <c r="B70" s="21">
        <v>57.4257</v>
      </c>
      <c r="C70" s="21">
        <v>56.7015</v>
      </c>
      <c r="D70" s="22">
        <v>8.2</v>
      </c>
      <c r="E70" s="23">
        <v>851</v>
      </c>
      <c r="F70" s="21">
        <v>60.0212</v>
      </c>
      <c r="G70" s="21">
        <v>59.0739</v>
      </c>
      <c r="H70" s="22">
        <v>8.2</v>
      </c>
      <c r="I70" s="23">
        <v>892</v>
      </c>
      <c r="J70" s="24">
        <f t="shared" si="10"/>
        <v>0.401021459229021</v>
      </c>
      <c r="K70" s="23">
        <f t="shared" si="11"/>
        <v>6.33476394852238</v>
      </c>
    </row>
    <row r="71" ht="14.25" spans="1:11">
      <c r="A71" s="14" t="s">
        <v>23</v>
      </c>
      <c r="B71" s="21">
        <v>5.1453</v>
      </c>
      <c r="C71" s="21">
        <v>4.9196</v>
      </c>
      <c r="D71" s="22">
        <v>9.6</v>
      </c>
      <c r="E71" s="23">
        <v>234</v>
      </c>
      <c r="F71" s="21">
        <v>7.1615</v>
      </c>
      <c r="G71" s="21">
        <v>6.8216</v>
      </c>
      <c r="H71" s="22">
        <v>9.6</v>
      </c>
      <c r="I71" s="23">
        <v>294</v>
      </c>
      <c r="J71" s="24">
        <f t="shared" si="10"/>
        <v>0.311515879829532</v>
      </c>
      <c r="K71" s="23">
        <f t="shared" si="11"/>
        <v>9.27038626613032</v>
      </c>
    </row>
    <row r="72" ht="14.25" spans="1:11">
      <c r="A72" s="14" t="s">
        <v>14</v>
      </c>
      <c r="B72" s="21">
        <v>6.8855</v>
      </c>
      <c r="C72" s="21">
        <v>6.8298</v>
      </c>
      <c r="D72" s="22">
        <v>7.1</v>
      </c>
      <c r="E72" s="23">
        <v>72</v>
      </c>
      <c r="F72" s="21">
        <v>8.4402</v>
      </c>
      <c r="G72" s="21">
        <v>8.3755</v>
      </c>
      <c r="H72" s="22">
        <v>7</v>
      </c>
      <c r="I72" s="23">
        <v>80</v>
      </c>
      <c r="J72" s="24">
        <f t="shared" si="10"/>
        <v>0.240211158799213</v>
      </c>
      <c r="K72" s="23">
        <f t="shared" si="11"/>
        <v>1.23605150215071</v>
      </c>
    </row>
    <row r="73" ht="14.25" spans="1:11">
      <c r="A73" s="14" t="s">
        <v>21</v>
      </c>
      <c r="B73" s="21">
        <v>14.3028</v>
      </c>
      <c r="C73" s="21">
        <v>13.7316</v>
      </c>
      <c r="D73" s="22">
        <v>7.5</v>
      </c>
      <c r="E73" s="23">
        <v>322</v>
      </c>
      <c r="F73" s="21">
        <v>15.6708</v>
      </c>
      <c r="G73" s="21">
        <v>15.0188</v>
      </c>
      <c r="H73" s="22">
        <v>7.5</v>
      </c>
      <c r="I73" s="23">
        <v>330</v>
      </c>
      <c r="J73" s="24">
        <f t="shared" si="10"/>
        <v>0.211364806867771</v>
      </c>
      <c r="K73" s="23">
        <f t="shared" si="11"/>
        <v>1.23605150215071</v>
      </c>
    </row>
    <row r="74" ht="14.25" spans="1:11">
      <c r="A74" s="14" t="s">
        <v>31</v>
      </c>
      <c r="B74" s="21">
        <v>1.2697</v>
      </c>
      <c r="C74" s="21">
        <v>1.1144</v>
      </c>
      <c r="D74" s="22">
        <v>8.9</v>
      </c>
      <c r="E74" s="23">
        <v>47</v>
      </c>
      <c r="F74" s="21">
        <v>2.6126</v>
      </c>
      <c r="G74" s="21">
        <v>2.2817</v>
      </c>
      <c r="H74" s="22">
        <v>8.7</v>
      </c>
      <c r="I74" s="23">
        <v>77</v>
      </c>
      <c r="J74" s="24">
        <f t="shared" si="10"/>
        <v>0.207486695279773</v>
      </c>
      <c r="K74" s="23">
        <f t="shared" si="11"/>
        <v>4.63519313306516</v>
      </c>
    </row>
    <row r="75" ht="14.25" spans="1:11">
      <c r="A75" s="14" t="s">
        <v>32</v>
      </c>
      <c r="B75" s="21">
        <v>0.8429</v>
      </c>
      <c r="C75" s="21">
        <v>0.8478</v>
      </c>
      <c r="D75" s="22">
        <v>9.1</v>
      </c>
      <c r="E75" s="23">
        <v>24</v>
      </c>
      <c r="F75" s="21">
        <v>2.0765</v>
      </c>
      <c r="G75" s="21">
        <v>2.0756</v>
      </c>
      <c r="H75" s="22">
        <v>9.3</v>
      </c>
      <c r="I75" s="23">
        <v>43</v>
      </c>
      <c r="J75" s="24">
        <f t="shared" si="10"/>
        <v>0.190599141631639</v>
      </c>
      <c r="K75" s="23">
        <f t="shared" si="11"/>
        <v>2.93562231760793</v>
      </c>
    </row>
    <row r="76" ht="14.25" spans="1:11">
      <c r="A76" s="14" t="s">
        <v>26</v>
      </c>
      <c r="B76" s="21">
        <v>3.7985</v>
      </c>
      <c r="C76" s="21">
        <v>3.5957</v>
      </c>
      <c r="D76" s="22">
        <v>9</v>
      </c>
      <c r="E76" s="23">
        <v>114</v>
      </c>
      <c r="F76" s="21">
        <v>4.977</v>
      </c>
      <c r="G76" s="21">
        <v>4.6901</v>
      </c>
      <c r="H76" s="22">
        <v>9</v>
      </c>
      <c r="I76" s="23">
        <v>142</v>
      </c>
      <c r="J76" s="24">
        <f t="shared" si="10"/>
        <v>0.182085836910576</v>
      </c>
      <c r="K76" s="23">
        <f t="shared" si="11"/>
        <v>4.32618025752748</v>
      </c>
    </row>
    <row r="77" ht="14.25" spans="1:11">
      <c r="A77" s="14" t="s">
        <v>29</v>
      </c>
      <c r="B77" s="21">
        <v>1.3682</v>
      </c>
      <c r="C77" s="21">
        <v>1.2726</v>
      </c>
      <c r="D77" s="22">
        <v>9</v>
      </c>
      <c r="E77" s="23">
        <v>21</v>
      </c>
      <c r="F77" s="21">
        <v>2.3862</v>
      </c>
      <c r="G77" s="21">
        <v>2.2262</v>
      </c>
      <c r="H77" s="22">
        <v>8.4</v>
      </c>
      <c r="I77" s="23">
        <v>26</v>
      </c>
      <c r="J77" s="24">
        <f t="shared" si="10"/>
        <v>0.157287553648678</v>
      </c>
      <c r="K77" s="23">
        <f t="shared" si="11"/>
        <v>0.772532188844193</v>
      </c>
    </row>
    <row r="78" ht="14.25" spans="1:11">
      <c r="A78" s="14" t="s">
        <v>24</v>
      </c>
      <c r="B78" s="21">
        <v>4.6753</v>
      </c>
      <c r="C78" s="21">
        <v>4.4358</v>
      </c>
      <c r="D78" s="22">
        <v>8.4</v>
      </c>
      <c r="E78" s="23">
        <v>70</v>
      </c>
      <c r="F78" s="21">
        <v>5.6611</v>
      </c>
      <c r="G78" s="21">
        <v>5.3519</v>
      </c>
      <c r="H78" s="22">
        <v>8.2</v>
      </c>
      <c r="I78" s="23">
        <v>82</v>
      </c>
      <c r="J78" s="24">
        <f t="shared" si="10"/>
        <v>0.152312446352521</v>
      </c>
      <c r="K78" s="23">
        <f t="shared" si="11"/>
        <v>1.85407725322606</v>
      </c>
    </row>
  </sheetData>
  <mergeCells count="18">
    <mergeCell ref="A1:K1"/>
    <mergeCell ref="B2:E2"/>
    <mergeCell ref="F2:I2"/>
    <mergeCell ref="A14:K14"/>
    <mergeCell ref="B15:E15"/>
    <mergeCell ref="F15:I15"/>
    <mergeCell ref="A27:K27"/>
    <mergeCell ref="B28:E28"/>
    <mergeCell ref="F28:I28"/>
    <mergeCell ref="A40:K40"/>
    <mergeCell ref="B41:E41"/>
    <mergeCell ref="F41:I41"/>
    <mergeCell ref="A53:K53"/>
    <mergeCell ref="B54:E54"/>
    <mergeCell ref="F54:I54"/>
    <mergeCell ref="A66:K66"/>
    <mergeCell ref="B67:E67"/>
    <mergeCell ref="F67:I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吴昊</cp:lastModifiedBy>
  <dcterms:created xsi:type="dcterms:W3CDTF">2023-05-12T11:15:00Z</dcterms:created>
  <dcterms:modified xsi:type="dcterms:W3CDTF">2026-07-16T07:42:43Z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F8BB6A28A97A45C691E337569A11E3D5_12</vt:lpwstr>
  </property>
  <property fmtid="{D5CDD505-2E9C-101B-9397-08002B2CF9AE}" pid="4" name="CalculationRule">
    <vt:i4>0</vt:i4>
  </property>
</Properties>
</file>
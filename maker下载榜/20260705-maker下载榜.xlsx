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project\taptap_tracking\website\maker下载榜\"/>
    </mc:Choice>
  </mc:AlternateContent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<sst xmlns="http://schemas.openxmlformats.org/spreadsheetml/2006/main" count="221" uniqueCount="48">
  <si>
    <t>TapTap Maker周新增下载前10游戏</t>
  </si>
  <si>
    <t>下载量
（万）</t>
  </si>
  <si>
    <t>关注量
（万）</t>
  </si>
  <si>
    <t>评分</t>
  </si>
  <si>
    <t>评价数量
（个）</t>
  </si>
  <si>
    <t>日均新增下载
（万）</t>
  </si>
  <si>
    <t>日均新增评价（个）</t>
  </si>
  <si>
    <t>翡翠经营模拟器</t>
  </si>
  <si>
    <t>SBTI人格测试</t>
  </si>
  <si>
    <t>切翡翠模拟器：一刀暴富</t>
  </si>
  <si>
    <t>100美元</t>
  </si>
  <si>
    <t>末日求生：搜打撤</t>
  </si>
  <si>
    <t>一刀穷一刀富，百万债主翻身路</t>
  </si>
  <si>
    <t>秘境旅人</t>
  </si>
  <si>
    <t>边境检查站</t>
  </si>
  <si>
    <t>每日塔罗</t>
  </si>
  <si>
    <t>点点宇宙</t>
  </si>
  <si>
    <t>散装武神：拼出个神器</t>
  </si>
  <si>
    <t>翡翠风云：一睹为快</t>
  </si>
  <si>
    <t>自媒体大亨</t>
  </si>
  <si>
    <t>臭水酒馆</t>
  </si>
  <si>
    <t>真实外卖模拟器</t>
  </si>
  <si>
    <t>虫族模拟器</t>
  </si>
  <si>
    <t>训练前额叶</t>
  </si>
  <si>
    <t>出海去钓鱼</t>
  </si>
  <si>
    <t>抽卡高考模拟器：无限</t>
  </si>
  <si>
    <t>天机六爻</t>
  </si>
  <si>
    <t>翡翠传奇：赌石人生模拟</t>
  </si>
  <si>
    <t>猫咪地牢搜打撤</t>
  </si>
  <si>
    <t>便当拼切物语</t>
  </si>
  <si>
    <t>历史模拟器：隆武</t>
  </si>
  <si>
    <t>从史莱姆开始：吞噬万物</t>
  </si>
  <si>
    <t>古琴大师</t>
  </si>
  <si>
    <t>越跳越有钱</t>
  </si>
  <si>
    <t>从零开始经营魔杖工坊</t>
  </si>
  <si>
    <t>瓶中恋人</t>
  </si>
  <si>
    <t>愚公移山</t>
  </si>
  <si>
    <t>伪人超市</t>
  </si>
  <si>
    <t>仙苗鉴定师</t>
  </si>
  <si>
    <t>小兵的故事</t>
  </si>
  <si>
    <t>FPS练枪房</t>
  </si>
  <si>
    <t>花掉马斯克的金钱</t>
  </si>
  <si>
    <t>我的火比你的更大</t>
  </si>
  <si>
    <t>足球传奇：球星生涯模拟器</t>
  </si>
  <si>
    <t>海龟汤调查局</t>
  </si>
  <si>
    <t>伐木模拟器</t>
  </si>
  <si>
    <t>组建班底打天下</t>
  </si>
  <si>
    <t>诡异复苏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</si>
</sst>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_ "/>
    <numFmt numFmtId="178" formatCode="0_ "/>
    <numFmt numFmtId="179" formatCode="0.000_ "/>
  </numFmts>
  <fonts count="25">
    <font>
      <sz val="11"/>
      <color theme="1"/>
      <name val="宋体"/>
      <charset val="134"/>
      <scheme val="minor"/>
    </font>
    <font>
      <b/>
      <sz val="18"/>
      <name val="宋体"/>
      <charset val="134"/>
      <scheme val="minor"/>
    </font>
    <font>
      <sz val="18"/>
      <name val="方正小标宋简体"/>
      <charset val="134"/>
    </font>
    <font>
      <sz val="12"/>
      <name val="宋体"/>
      <charset val="134"/>
    </font>
    <font>
      <b/>
      <sz val="12"/>
      <name val="宋体"/>
      <charset val="134"/>
    </font>
    <font>
      <b/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2" borderId="5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6">
      <alignment vertical="center"/>
    </xf>
    <xf numFmtId="0" fontId="12" fillId="0" borderId="6">
      <alignment vertical="center"/>
    </xf>
    <xf numFmtId="0" fontId="13" fillId="0" borderId="7">
      <alignment vertical="center"/>
    </xf>
    <xf numFmtId="0" fontId="13" fillId="0" borderId="0">
      <alignment vertical="center"/>
    </xf>
    <xf numFmtId="0" fontId="14" fillId="3" borderId="8">
      <alignment vertical="center"/>
    </xf>
    <xf numFmtId="0" fontId="15" fillId="4" borderId="9">
      <alignment vertical="center"/>
    </xf>
    <xf numFmtId="0" fontId="16" fillId="4" borderId="8">
      <alignment vertical="center"/>
    </xf>
    <xf numFmtId="0" fontId="17" fillId="5" borderId="10">
      <alignment vertical="center"/>
    </xf>
    <xf numFmtId="0" fontId="18" fillId="0" borderId="11">
      <alignment vertical="center"/>
    </xf>
    <xf numFmtId="0" fontId="19" fillId="0" borderId="12">
      <alignment vertical="center"/>
    </xf>
    <xf numFmtId="0" fontId="20" fillId="6" borderId="0">
      <alignment vertical="center"/>
    </xf>
    <xf numFmtId="0" fontId="21" fillId="7" borderId="0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4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3" fillId="32" borderId="0">
      <alignment vertical="center"/>
    </xf>
  </cellStyleXfs>
  <cellXfs count="25">
    <xf numFmtId="0" fontId="0" fillId="0" borderId="0" xfId="0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22" fontId="3" fillId="0" borderId="2" xfId="0" applyNumberFormat="1" applyFont="1" applyFill="1" applyBorder="1" applyAlignment="1">
      <alignment horizontal="center" vertical="center"/>
    </xf>
    <xf numFmtId="22" fontId="3" fillId="0" borderId="3" xfId="0" applyNumberFormat="1" applyFont="1" applyFill="1" applyBorder="1" applyAlignment="1">
      <alignment horizontal="center" vertical="center"/>
    </xf>
    <xf numFmtId="22" fontId="3" fillId="0" borderId="4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5" fillId="0" borderId="1" xfId="0" applyNumberFormat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176" fontId="3" fillId="0" borderId="1" xfId="0" applyNumberFormat="1" applyFont="1" applyFill="1" applyBorder="1" applyAlignment="1">
      <alignment horizontal="center" vertical="center"/>
    </xf>
    <xf numFmtId="177" fontId="3" fillId="0" borderId="1" xfId="0" applyNumberFormat="1" applyFont="1" applyFill="1" applyBorder="1" applyAlignment="1">
      <alignment horizontal="center" vertical="center"/>
    </xf>
    <xf numFmtId="178" fontId="3" fillId="0" borderId="1" xfId="0" applyNumberFormat="1" applyFont="1" applyFill="1" applyBorder="1" applyAlignment="1">
      <alignment horizontal="center" vertical="center"/>
    </xf>
    <xf numFmtId="179" fontId="3" fillId="0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22" fontId="3" fillId="0" borderId="2" xfId="0" applyNumberFormat="1" applyFont="1" applyFill="1" applyBorder="1" applyAlignment="1">
      <alignment horizontal="center" vertical="center"/>
    </xf>
    <xf numFmtId="22" fontId="3" fillId="0" borderId="3" xfId="0" applyNumberFormat="1" applyFont="1" applyFill="1" applyBorder="1" applyAlignment="1">
      <alignment horizontal="center" vertical="center"/>
    </xf>
    <xf numFmtId="22" fontId="3" fillId="0" borderId="4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5" fillId="0" borderId="1" xfId="0" applyNumberFormat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176" fontId="3" fillId="0" borderId="1" xfId="0" applyNumberFormat="1" applyFont="1" applyFill="1" applyBorder="1" applyAlignment="1">
      <alignment horizontal="center" vertical="center"/>
    </xf>
    <xf numFmtId="177" fontId="3" fillId="0" borderId="1" xfId="0" applyNumberFormat="1" applyFont="1" applyFill="1" applyBorder="1" applyAlignment="1">
      <alignment horizontal="center" vertical="center"/>
    </xf>
    <xf numFmtId="178" fontId="3" fillId="0" borderId="1" xfId="0" applyNumberFormat="1" applyFont="1" applyFill="1" applyBorder="1" applyAlignment="1">
      <alignment horizontal="center" vertical="center"/>
    </xf>
    <xf numFmtId="179" fontId="3" fillId="0" borderId="1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3"/>
  <sheetViews>
    <sheetView tabSelected="1" topLeftCell="A111" workbookViewId="0">
      <selection activeCell="J140" sqref="J140"/>
    </sheetView>
  </sheetViews>
  <sheetFormatPr defaultColWidth="9" defaultRowHeight="13.5"/>
  <sheetData>
    <row r="1" ht="22.5" spans="1:1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ht="14.25" spans="1:11">
      <c r="A2" s="3"/>
      <c r="B2" s="4">
        <v>46172.9166666667</v>
      </c>
      <c r="C2" s="5"/>
      <c r="D2" s="5"/>
      <c r="E2" s="6"/>
      <c r="F2" s="4">
        <v>46180.6527777778</v>
      </c>
      <c r="G2" s="5"/>
      <c r="H2" s="5"/>
      <c r="I2" s="6"/>
      <c r="J2" s="3"/>
      <c r="K2" s="3"/>
    </row>
    <row r="3" ht="42.75" spans="1:11">
      <c r="A3" s="7"/>
      <c r="B3" s="8" t="s">
        <v>1</v>
      </c>
      <c r="C3" s="8" t="s">
        <v>2</v>
      </c>
      <c r="D3" s="8" t="s">
        <v>3</v>
      </c>
      <c r="E3" s="8" t="s">
        <v>4</v>
      </c>
      <c r="F3" s="8" t="s">
        <v>1</v>
      </c>
      <c r="G3" s="8" t="s">
        <v>2</v>
      </c>
      <c r="H3" s="8" t="s">
        <v>3</v>
      </c>
      <c r="I3" s="8" t="s">
        <v>4</v>
      </c>
      <c r="J3" s="8" t="s">
        <v>5</v>
      </c>
      <c r="K3" s="9" t="s">
        <v>6</v>
      </c>
    </row>
    <row r="4" ht="14.25" spans="1:11">
      <c r="A4" s="3" t="s">
        <v>7</v>
      </c>
      <c r="B4" s="10">
        <v>6.0837</v>
      </c>
      <c r="C4" s="10">
        <v>5.782</v>
      </c>
      <c r="D4" s="11">
        <v>8.8</v>
      </c>
      <c r="E4" s="12">
        <v>138</v>
      </c>
      <c r="F4" s="10">
        <v>19.8105</v>
      </c>
      <c r="G4" s="10">
        <v>18.6698</v>
      </c>
      <c r="H4" s="11">
        <v>8.9</v>
      </c>
      <c r="I4" s="12">
        <v>451</v>
      </c>
      <c r="J4" s="13">
        <f t="shared" ref="J4:J12" si="0">(F4-B4)/($F$2-$B$2)</f>
        <v>1.77437989228211</v>
      </c>
      <c r="K4" s="12">
        <f t="shared" ref="K4:K13" si="1">(I4-E4)/($F$2-$B$2)</f>
        <v>40.4596050269765</v>
      </c>
    </row>
    <row r="5" ht="14.25" spans="1:11">
      <c r="A5" s="3" t="s">
        <v>8</v>
      </c>
      <c r="B5" s="10">
        <v>44.2088</v>
      </c>
      <c r="C5" s="10">
        <v>44.2564</v>
      </c>
      <c r="D5" s="11">
        <v>8.1</v>
      </c>
      <c r="E5" s="12">
        <v>667</v>
      </c>
      <c r="F5" s="10">
        <v>47.1407</v>
      </c>
      <c r="G5" s="10">
        <v>47.0526</v>
      </c>
      <c r="H5" s="11">
        <v>8.1</v>
      </c>
      <c r="I5" s="12">
        <v>697</v>
      </c>
      <c r="J5" s="13">
        <f t="shared" si="0"/>
        <v>0.37898886894119</v>
      </c>
      <c r="K5" s="12">
        <f t="shared" si="1"/>
        <v>3.87791741472618</v>
      </c>
    </row>
    <row r="6" ht="14.25" spans="1:11">
      <c r="A6" s="3" t="s">
        <v>9</v>
      </c>
      <c r="B6" s="10">
        <v>11.1604</v>
      </c>
      <c r="C6" s="10">
        <v>10.9206</v>
      </c>
      <c r="D6" s="11">
        <v>6.4</v>
      </c>
      <c r="E6" s="12">
        <v>161</v>
      </c>
      <c r="F6" s="10">
        <v>12.6965</v>
      </c>
      <c r="G6" s="10">
        <v>12.3666</v>
      </c>
      <c r="H6" s="11">
        <v>6.3</v>
      </c>
      <c r="I6" s="12">
        <v>179</v>
      </c>
      <c r="J6" s="13">
        <f t="shared" si="0"/>
        <v>0.198562298025363</v>
      </c>
      <c r="K6" s="12">
        <f t="shared" si="1"/>
        <v>2.32675044883571</v>
      </c>
    </row>
    <row r="7" ht="14.25" spans="1:11">
      <c r="A7" s="3" t="s">
        <v>10</v>
      </c>
      <c r="B7" s="10">
        <v>0.5028</v>
      </c>
      <c r="C7" s="10">
        <v>0.4632</v>
      </c>
      <c r="D7" s="11">
        <v>9.2</v>
      </c>
      <c r="E7" s="12">
        <v>44</v>
      </c>
      <c r="F7" s="10">
        <v>1.9043</v>
      </c>
      <c r="G7" s="10">
        <v>1.787</v>
      </c>
      <c r="H7" s="11">
        <v>8.6</v>
      </c>
      <c r="I7" s="12">
        <v>102</v>
      </c>
      <c r="J7" s="13">
        <f t="shared" si="0"/>
        <v>0.181163375224625</v>
      </c>
      <c r="K7" s="12">
        <f t="shared" si="1"/>
        <v>7.49730700180395</v>
      </c>
    </row>
    <row r="8" ht="14.25" spans="1:11">
      <c r="A8" s="3" t="s">
        <v>11</v>
      </c>
      <c r="B8" s="10">
        <v>0.4958</v>
      </c>
      <c r="C8" s="10">
        <v>0.4588</v>
      </c>
      <c r="D8" s="11">
        <v>7.5</v>
      </c>
      <c r="E8" s="12">
        <v>50</v>
      </c>
      <c r="F8" s="10">
        <v>1.8538</v>
      </c>
      <c r="G8" s="10">
        <v>1.6892</v>
      </c>
      <c r="H8" s="11">
        <v>7.7</v>
      </c>
      <c r="I8" s="12">
        <v>130</v>
      </c>
      <c r="J8" s="13">
        <f t="shared" si="0"/>
        <v>0.175540394973272</v>
      </c>
      <c r="K8" s="12">
        <f t="shared" si="1"/>
        <v>10.3411131059365</v>
      </c>
    </row>
    <row r="9" ht="14.25" spans="1:11">
      <c r="A9" s="3" t="s">
        <v>12</v>
      </c>
      <c r="B9" s="10">
        <v>0.3383</v>
      </c>
      <c r="C9" s="10">
        <v>0.3173</v>
      </c>
      <c r="D9" s="11">
        <v>7.8</v>
      </c>
      <c r="E9" s="12">
        <v>10</v>
      </c>
      <c r="F9" s="10">
        <v>1.6893</v>
      </c>
      <c r="G9" s="10">
        <v>1.5832</v>
      </c>
      <c r="H9" s="11">
        <v>8.1</v>
      </c>
      <c r="I9" s="12">
        <v>31</v>
      </c>
      <c r="J9" s="13">
        <f t="shared" si="0"/>
        <v>0.174635547576502</v>
      </c>
      <c r="K9" s="12">
        <f t="shared" si="1"/>
        <v>2.71454219030833</v>
      </c>
    </row>
    <row r="10" ht="14.25" spans="1:11">
      <c r="A10" s="3" t="s">
        <v>13</v>
      </c>
      <c r="B10" s="10">
        <v>0.0175</v>
      </c>
      <c r="C10" s="10">
        <v>0.0129</v>
      </c>
      <c r="D10" s="11">
        <v>8</v>
      </c>
      <c r="E10" s="12">
        <v>7</v>
      </c>
      <c r="F10" s="10">
        <v>1.2047</v>
      </c>
      <c r="G10" s="10">
        <v>1.0405</v>
      </c>
      <c r="H10" s="11">
        <v>7.6</v>
      </c>
      <c r="I10" s="12">
        <v>92</v>
      </c>
      <c r="J10" s="13">
        <f t="shared" si="0"/>
        <v>0.153462118492097</v>
      </c>
      <c r="K10" s="12">
        <f t="shared" si="1"/>
        <v>10.9874326750575</v>
      </c>
    </row>
    <row r="11" ht="14.25" spans="1:11">
      <c r="A11" s="3" t="s">
        <v>14</v>
      </c>
      <c r="B11" s="10">
        <v>0.0723</v>
      </c>
      <c r="C11" s="10">
        <v>0.0694</v>
      </c>
      <c r="D11" s="11">
        <v>5.2</v>
      </c>
      <c r="E11" s="12">
        <v>6</v>
      </c>
      <c r="F11" s="10">
        <v>1.1273</v>
      </c>
      <c r="G11" s="10">
        <v>1.1106</v>
      </c>
      <c r="H11" s="11">
        <v>7.1</v>
      </c>
      <c r="I11" s="12">
        <v>27</v>
      </c>
      <c r="J11" s="13">
        <f t="shared" si="0"/>
        <v>0.136373429084537</v>
      </c>
      <c r="K11" s="12">
        <f t="shared" si="1"/>
        <v>2.71454219030833</v>
      </c>
    </row>
    <row r="12" ht="14.25" spans="1:11">
      <c r="A12" s="3" t="s">
        <v>15</v>
      </c>
      <c r="B12" s="10">
        <v>9.5662</v>
      </c>
      <c r="C12" s="10">
        <v>9.4686</v>
      </c>
      <c r="D12" s="11">
        <v>7.9</v>
      </c>
      <c r="E12" s="12">
        <v>108</v>
      </c>
      <c r="F12" s="10">
        <v>10.6018</v>
      </c>
      <c r="G12" s="10">
        <v>10.4325</v>
      </c>
      <c r="H12" s="11">
        <v>7.9</v>
      </c>
      <c r="I12" s="12">
        <v>113</v>
      </c>
      <c r="J12" s="13">
        <f t="shared" si="0"/>
        <v>0.133865709156348</v>
      </c>
      <c r="K12" s="12">
        <f t="shared" si="1"/>
        <v>0.64631956912103</v>
      </c>
    </row>
    <row r="13" ht="14.25" spans="1:11">
      <c r="A13" s="3" t="s">
        <v>16</v>
      </c>
      <c r="B13" s="10">
        <v>0.269</v>
      </c>
      <c r="C13" s="10">
        <v>0.2341</v>
      </c>
      <c r="D13" s="11">
        <v>9.4</v>
      </c>
      <c r="E13" s="12">
        <v>22</v>
      </c>
      <c r="F13" s="10">
        <v>1.1983</v>
      </c>
      <c r="G13" s="10">
        <v>1.0411</v>
      </c>
      <c r="H13" s="11">
        <v>9.1</v>
      </c>
      <c r="I13" s="12">
        <v>53</v>
      </c>
      <c r="J13" s="13">
        <f>(F13-B13)/($F$2-$B$2)/10000</f>
        <v>1.20124955116835e-5</v>
      </c>
      <c r="K13" s="12">
        <f t="shared" si="1"/>
        <v>4.00718132855039</v>
      </c>
    </row>
    <row r="14" ht="14.25" spans="1:1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</row>
    <row r="15" ht="14.25" spans="1:11">
      <c r="A15" s="3"/>
      <c r="B15" s="4">
        <v>46180.6527777778</v>
      </c>
      <c r="C15" s="5"/>
      <c r="D15" s="5"/>
      <c r="E15" s="6"/>
      <c r="F15" s="4">
        <v>46187.125</v>
      </c>
      <c r="G15" s="5"/>
      <c r="H15" s="5"/>
      <c r="I15" s="6"/>
      <c r="J15" s="3"/>
      <c r="K15" s="3"/>
    </row>
    <row r="16" ht="42.75" spans="1:11">
      <c r="A16" s="7"/>
      <c r="B16" s="8" t="s">
        <v>1</v>
      </c>
      <c r="C16" s="8" t="s">
        <v>2</v>
      </c>
      <c r="D16" s="8" t="s">
        <v>3</v>
      </c>
      <c r="E16" s="8" t="s">
        <v>4</v>
      </c>
      <c r="F16" s="8" t="s">
        <v>1</v>
      </c>
      <c r="G16" s="8" t="s">
        <v>2</v>
      </c>
      <c r="H16" s="8" t="s">
        <v>3</v>
      </c>
      <c r="I16" s="8" t="s">
        <v>4</v>
      </c>
      <c r="J16" s="8" t="s">
        <v>5</v>
      </c>
      <c r="K16" s="9" t="s">
        <v>6</v>
      </c>
    </row>
    <row r="17" ht="14.25" spans="1:11">
      <c r="A17" s="3" t="s">
        <v>7</v>
      </c>
      <c r="B17" s="10">
        <v>19.8105</v>
      </c>
      <c r="C17" s="10">
        <v>18.6698</v>
      </c>
      <c r="D17" s="11">
        <v>8.9</v>
      </c>
      <c r="E17" s="12">
        <v>451</v>
      </c>
      <c r="F17" s="10">
        <v>32.0457</v>
      </c>
      <c r="G17" s="10">
        <v>30.1582</v>
      </c>
      <c r="H17" s="11">
        <v>8.9</v>
      </c>
      <c r="I17" s="12">
        <v>683</v>
      </c>
      <c r="J17" s="13">
        <f>(F17-B17)/($F15-$B15)</f>
        <v>1.89041716738929</v>
      </c>
      <c r="K17" s="12">
        <f>(I17-E17)/($F15-$B15)</f>
        <v>35.8454935623706</v>
      </c>
    </row>
    <row r="18" ht="14.25" spans="1:11">
      <c r="A18" s="3" t="s">
        <v>8</v>
      </c>
      <c r="B18" s="10">
        <v>47.1407</v>
      </c>
      <c r="C18" s="10">
        <v>47.0526</v>
      </c>
      <c r="D18" s="11">
        <v>8.1</v>
      </c>
      <c r="E18" s="12">
        <v>697</v>
      </c>
      <c r="F18" s="10">
        <v>49.4585</v>
      </c>
      <c r="G18" s="10">
        <v>49.2272</v>
      </c>
      <c r="H18" s="11">
        <v>8.1</v>
      </c>
      <c r="I18" s="12">
        <v>733</v>
      </c>
      <c r="J18" s="13">
        <f>(F18-B18)/($F15-$B15)</f>
        <v>0.358115021460614</v>
      </c>
      <c r="K18" s="12">
        <f>(I18-E18)/($F15-$B15)</f>
        <v>5.56223175967819</v>
      </c>
    </row>
    <row r="19" ht="14.25" spans="1:11">
      <c r="A19" s="3" t="s">
        <v>12</v>
      </c>
      <c r="B19" s="10">
        <v>1.6893</v>
      </c>
      <c r="C19" s="10">
        <v>1.5832</v>
      </c>
      <c r="D19" s="11">
        <v>8.1</v>
      </c>
      <c r="E19" s="12">
        <v>31</v>
      </c>
      <c r="F19" s="10">
        <v>3.5845</v>
      </c>
      <c r="G19" s="10">
        <v>3.3558</v>
      </c>
      <c r="H19" s="11">
        <v>7.8</v>
      </c>
      <c r="I19" s="12">
        <v>41</v>
      </c>
      <c r="J19" s="13">
        <f>(F19-B19)/($F15-$B15)</f>
        <v>0.292820600859503</v>
      </c>
      <c r="K19" s="12">
        <f>(I19-E19)/($F15-$B15)</f>
        <v>1.54506437768839</v>
      </c>
    </row>
    <row r="20" ht="14.25" spans="1:11">
      <c r="A20" s="3" t="s">
        <v>17</v>
      </c>
      <c r="B20" s="10">
        <v>0.0237</v>
      </c>
      <c r="C20" s="10">
        <v>0.0177</v>
      </c>
      <c r="D20" s="11">
        <v>1</v>
      </c>
      <c r="E20" s="12">
        <v>4</v>
      </c>
      <c r="F20" s="10">
        <v>1.8791</v>
      </c>
      <c r="G20" s="10">
        <v>1.6554</v>
      </c>
      <c r="H20" s="11">
        <v>8.7</v>
      </c>
      <c r="I20" s="12">
        <v>66</v>
      </c>
      <c r="J20" s="13">
        <f>(F20-B20)/($F15-$B15)</f>
        <v>0.286671244636303</v>
      </c>
      <c r="K20" s="12">
        <f>(I20-E20)/($F15-$B15)</f>
        <v>9.579399141668</v>
      </c>
    </row>
    <row r="21" ht="14.25" spans="1:11">
      <c r="A21" s="3" t="s">
        <v>14</v>
      </c>
      <c r="B21" s="10">
        <v>1.1273</v>
      </c>
      <c r="C21" s="10">
        <v>1.1106</v>
      </c>
      <c r="D21" s="11">
        <v>7.1</v>
      </c>
      <c r="E21" s="12">
        <v>27</v>
      </c>
      <c r="F21" s="10">
        <v>2.5442</v>
      </c>
      <c r="G21" s="10">
        <v>2.5122</v>
      </c>
      <c r="H21" s="11">
        <v>7.4</v>
      </c>
      <c r="I21" s="12">
        <v>42</v>
      </c>
      <c r="J21" s="13">
        <f>(F21-B21)/($F15-$B15)</f>
        <v>0.218920171674667</v>
      </c>
      <c r="K21" s="12">
        <f>(I21-E21)/($F15-$B15)</f>
        <v>2.31759656653258</v>
      </c>
    </row>
    <row r="22" ht="14.25" spans="1:11">
      <c r="A22" s="3" t="s">
        <v>10</v>
      </c>
      <c r="B22" s="10">
        <v>1.9043</v>
      </c>
      <c r="C22" s="10">
        <v>1.787</v>
      </c>
      <c r="D22" s="11">
        <v>8.6</v>
      </c>
      <c r="E22" s="12">
        <v>102</v>
      </c>
      <c r="F22" s="10">
        <v>3.1323</v>
      </c>
      <c r="G22" s="10">
        <v>2.9376</v>
      </c>
      <c r="H22" s="11">
        <v>8.6</v>
      </c>
      <c r="I22" s="12">
        <v>183</v>
      </c>
      <c r="J22" s="13">
        <f>(F22-B22)/($F15-$B15)</f>
        <v>0.189733905580134</v>
      </c>
      <c r="K22" s="12">
        <f>(I22-E22)/($F15-$B15)</f>
        <v>12.5150214592759</v>
      </c>
    </row>
    <row r="23" ht="14.25" spans="1:11">
      <c r="A23" s="3" t="s">
        <v>18</v>
      </c>
      <c r="B23" s="10">
        <v>0.4254</v>
      </c>
      <c r="C23" s="10">
        <v>0.3895</v>
      </c>
      <c r="D23" s="11">
        <v>8.6</v>
      </c>
      <c r="E23" s="12">
        <v>31</v>
      </c>
      <c r="F23" s="10">
        <v>1.6155</v>
      </c>
      <c r="G23" s="10">
        <v>1.4626</v>
      </c>
      <c r="H23" s="11">
        <v>8.6</v>
      </c>
      <c r="I23" s="12">
        <v>67</v>
      </c>
      <c r="J23" s="13">
        <f>(F23-B23)/($F15-$B15)</f>
        <v>0.183878111588695</v>
      </c>
      <c r="K23" s="12">
        <f>(I23-E23)/($F15-$B15)</f>
        <v>5.56223175967819</v>
      </c>
    </row>
    <row r="24" ht="14.25" spans="1:11">
      <c r="A24" s="3" t="s">
        <v>19</v>
      </c>
      <c r="B24" s="10">
        <v>0.8831</v>
      </c>
      <c r="C24" s="10">
        <v>0.8077</v>
      </c>
      <c r="D24" s="11">
        <v>9.1</v>
      </c>
      <c r="E24" s="12">
        <v>35</v>
      </c>
      <c r="F24" s="10">
        <v>2.0585</v>
      </c>
      <c r="G24" s="10">
        <v>1.8953</v>
      </c>
      <c r="H24" s="11">
        <v>8.7</v>
      </c>
      <c r="I24" s="12">
        <v>52</v>
      </c>
      <c r="J24" s="13">
        <f>(F24-B24)/($F15-$B15)</f>
        <v>0.181606866953493</v>
      </c>
      <c r="K24" s="12">
        <f>(I24-E24)/($F15-$B15)</f>
        <v>2.62660944207026</v>
      </c>
    </row>
    <row r="25" ht="14.25" spans="1:11">
      <c r="A25" s="3" t="s">
        <v>15</v>
      </c>
      <c r="B25" s="10">
        <v>10.6018</v>
      </c>
      <c r="C25" s="10">
        <v>10.4325</v>
      </c>
      <c r="D25" s="11">
        <v>7.9</v>
      </c>
      <c r="E25" s="12">
        <v>113</v>
      </c>
      <c r="F25" s="10">
        <v>11.4366</v>
      </c>
      <c r="G25" s="10">
        <v>11.1945</v>
      </c>
      <c r="H25" s="11">
        <v>8</v>
      </c>
      <c r="I25" s="12">
        <v>126</v>
      </c>
      <c r="J25" s="13">
        <f>(F25-B25)/($F15-$B15)</f>
        <v>0.128981974249426</v>
      </c>
      <c r="K25" s="12">
        <f>(I25-E25)/($F15-$B15)</f>
        <v>2.0085836909949</v>
      </c>
    </row>
    <row r="26" ht="14.25" spans="1:11">
      <c r="A26" s="3" t="s">
        <v>20</v>
      </c>
      <c r="B26" s="10">
        <v>0.0541</v>
      </c>
      <c r="C26" s="10">
        <v>0.0476</v>
      </c>
      <c r="D26" s="11">
        <v>9.5</v>
      </c>
      <c r="E26" s="12">
        <v>8</v>
      </c>
      <c r="F26" s="10">
        <v>0.8123</v>
      </c>
      <c r="G26" s="10">
        <v>0.7402</v>
      </c>
      <c r="H26" s="11">
        <v>9.3</v>
      </c>
      <c r="I26" s="12">
        <v>37</v>
      </c>
      <c r="J26" s="13">
        <f>(F26-B26)/($F15-$B15)</f>
        <v>0.117146781116333</v>
      </c>
      <c r="K26" s="12">
        <f>(I26-E26)/($F15-$B15)</f>
        <v>4.48068669529632</v>
      </c>
    </row>
    <row r="27" ht="14.25" spans="1:1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ht="14.25" spans="1:11">
      <c r="A28" s="3"/>
      <c r="B28" s="4">
        <v>46187.125</v>
      </c>
      <c r="C28" s="5"/>
      <c r="D28" s="5"/>
      <c r="E28" s="6"/>
      <c r="F28" s="4">
        <v>46194.125</v>
      </c>
      <c r="G28" s="5"/>
      <c r="H28" s="5"/>
      <c r="I28" s="6"/>
      <c r="J28" s="3"/>
      <c r="K28" s="3"/>
    </row>
    <row r="29" ht="42.75" spans="1:11">
      <c r="A29" s="7"/>
      <c r="B29" s="8" t="s">
        <v>1</v>
      </c>
      <c r="C29" s="8" t="s">
        <v>2</v>
      </c>
      <c r="D29" s="8" t="s">
        <v>3</v>
      </c>
      <c r="E29" s="8" t="s">
        <v>4</v>
      </c>
      <c r="F29" s="8" t="s">
        <v>1</v>
      </c>
      <c r="G29" s="8" t="s">
        <v>2</v>
      </c>
      <c r="H29" s="8" t="s">
        <v>3</v>
      </c>
      <c r="I29" s="8" t="s">
        <v>4</v>
      </c>
      <c r="J29" s="8" t="s">
        <v>5</v>
      </c>
      <c r="K29" s="9" t="s">
        <v>6</v>
      </c>
    </row>
    <row r="30" ht="14.25" spans="1:11">
      <c r="A30" s="3" t="s">
        <v>7</v>
      </c>
      <c r="B30" s="10">
        <v>32.0457</v>
      </c>
      <c r="C30" s="10">
        <v>30.1582</v>
      </c>
      <c r="D30" s="11">
        <v>8.9</v>
      </c>
      <c r="E30" s="12">
        <v>683</v>
      </c>
      <c r="F30" s="10">
        <v>45.0059</v>
      </c>
      <c r="G30" s="10">
        <v>42.3585</v>
      </c>
      <c r="H30" s="11">
        <v>8.8</v>
      </c>
      <c r="I30" s="12">
        <v>916</v>
      </c>
      <c r="J30" s="13">
        <f>(F30-B30)/($F28-$B28)</f>
        <v>1.85145714285714</v>
      </c>
      <c r="K30" s="12">
        <f>(I30-E30)/($F28-$B28)</f>
        <v>33.2857142857143</v>
      </c>
    </row>
    <row r="31" ht="14.25" spans="1:11">
      <c r="A31" s="3" t="s">
        <v>8</v>
      </c>
      <c r="B31" s="10">
        <v>49.4585</v>
      </c>
      <c r="C31" s="10">
        <v>49.2272</v>
      </c>
      <c r="D31" s="11">
        <v>8.1</v>
      </c>
      <c r="E31" s="12">
        <v>733</v>
      </c>
      <c r="F31" s="10">
        <v>52.2099</v>
      </c>
      <c r="G31" s="10">
        <v>51.8337</v>
      </c>
      <c r="H31" s="11">
        <v>8.1</v>
      </c>
      <c r="I31" s="12">
        <v>769</v>
      </c>
      <c r="J31" s="13">
        <f>(F31-B31)/($F28-$B28)</f>
        <v>0.393057142857142</v>
      </c>
      <c r="K31" s="12">
        <f>(I31-E31)/($F28-$B28)</f>
        <v>5.14285714285714</v>
      </c>
    </row>
    <row r="32" ht="14.25" spans="1:11">
      <c r="A32" s="3" t="s">
        <v>14</v>
      </c>
      <c r="B32" s="10">
        <v>2.5442</v>
      </c>
      <c r="C32" s="10">
        <v>2.5122</v>
      </c>
      <c r="D32" s="11">
        <v>7.4</v>
      </c>
      <c r="E32" s="12">
        <v>42</v>
      </c>
      <c r="F32" s="10">
        <v>4.1036</v>
      </c>
      <c r="G32" s="10">
        <v>4.0757</v>
      </c>
      <c r="H32" s="11">
        <v>7.4</v>
      </c>
      <c r="I32" s="12">
        <v>54</v>
      </c>
      <c r="J32" s="13">
        <f>(F32-B32)/($F28-$B28)</f>
        <v>0.222771428571429</v>
      </c>
      <c r="K32" s="12">
        <f>(I32-E32)/($F28-$B28)</f>
        <v>1.71428571428571</v>
      </c>
    </row>
    <row r="33" ht="14.25" spans="1:11">
      <c r="A33" s="3" t="s">
        <v>17</v>
      </c>
      <c r="B33" s="10">
        <v>1.8791</v>
      </c>
      <c r="C33" s="10">
        <v>1.6554</v>
      </c>
      <c r="D33" s="11">
        <v>8.7</v>
      </c>
      <c r="E33" s="12">
        <v>66</v>
      </c>
      <c r="F33" s="10">
        <v>3.1133</v>
      </c>
      <c r="G33" s="10">
        <v>2.7437</v>
      </c>
      <c r="H33" s="11">
        <v>8.6</v>
      </c>
      <c r="I33" s="12">
        <v>92</v>
      </c>
      <c r="J33" s="13">
        <f>(F33-B33)/($F28-$B28)</f>
        <v>0.176314285714286</v>
      </c>
      <c r="K33" s="12">
        <f>(I33-E33)/($F28-$B28)</f>
        <v>3.71428571428571</v>
      </c>
    </row>
    <row r="34" ht="14.25" spans="1:11">
      <c r="A34" s="3" t="s">
        <v>12</v>
      </c>
      <c r="B34" s="10">
        <v>3.5845</v>
      </c>
      <c r="C34" s="10">
        <v>3.3558</v>
      </c>
      <c r="D34" s="11">
        <v>7.8</v>
      </c>
      <c r="E34" s="12">
        <v>41</v>
      </c>
      <c r="F34" s="10">
        <v>4.6833</v>
      </c>
      <c r="G34" s="10">
        <v>4.3926</v>
      </c>
      <c r="H34" s="11">
        <v>7.8</v>
      </c>
      <c r="I34" s="12">
        <v>47</v>
      </c>
      <c r="J34" s="13">
        <f>(F34-B34)/($F28-$B28)</f>
        <v>0.156971428571429</v>
      </c>
      <c r="K34" s="12">
        <f>(I34-E34)/($F28-$B28)</f>
        <v>0.857142857142857</v>
      </c>
    </row>
    <row r="35" ht="14.25" spans="1:11">
      <c r="A35" s="3" t="s">
        <v>15</v>
      </c>
      <c r="B35" s="10">
        <v>11.4366</v>
      </c>
      <c r="C35" s="10">
        <v>11.1945</v>
      </c>
      <c r="D35" s="11">
        <v>8</v>
      </c>
      <c r="E35" s="12">
        <v>126</v>
      </c>
      <c r="F35" s="10">
        <v>12.4023</v>
      </c>
      <c r="G35" s="10">
        <v>12.0901</v>
      </c>
      <c r="H35" s="11">
        <v>8</v>
      </c>
      <c r="I35" s="12">
        <v>135</v>
      </c>
      <c r="J35" s="13">
        <f>(F35-B35)/($F28-$B28)</f>
        <v>0.137957142857143</v>
      </c>
      <c r="K35" s="12">
        <f>(I35-E35)/($F28-$B28)</f>
        <v>1.28571428571429</v>
      </c>
    </row>
    <row r="36" ht="14.25" spans="1:11">
      <c r="A36" s="3" t="s">
        <v>21</v>
      </c>
      <c r="B36" s="10">
        <v>11.755</v>
      </c>
      <c r="C36" s="10">
        <v>11.3963</v>
      </c>
      <c r="D36" s="11">
        <v>7.5</v>
      </c>
      <c r="E36" s="12">
        <v>283</v>
      </c>
      <c r="F36" s="10">
        <v>12.6813</v>
      </c>
      <c r="G36" s="10">
        <v>12.2535</v>
      </c>
      <c r="H36" s="11">
        <v>7.5</v>
      </c>
      <c r="I36" s="12">
        <v>296</v>
      </c>
      <c r="J36" s="13">
        <f>(F36-B36)/($F28-$B28)</f>
        <v>0.132328571428571</v>
      </c>
      <c r="K36" s="12">
        <f>(I36-E36)/($F28-$B28)</f>
        <v>1.85714285714286</v>
      </c>
    </row>
    <row r="37" ht="14.25" spans="1:11">
      <c r="A37" s="3" t="s">
        <v>18</v>
      </c>
      <c r="B37" s="10">
        <v>1.6155</v>
      </c>
      <c r="C37" s="10">
        <v>1.4626</v>
      </c>
      <c r="D37" s="11">
        <v>8.6</v>
      </c>
      <c r="E37" s="12">
        <v>67</v>
      </c>
      <c r="F37" s="10">
        <v>2.4315</v>
      </c>
      <c r="G37" s="10">
        <v>2.196</v>
      </c>
      <c r="H37" s="11">
        <v>8.6</v>
      </c>
      <c r="I37" s="12">
        <v>96</v>
      </c>
      <c r="J37" s="13">
        <f>(F37-B37)/($F28-$B28)</f>
        <v>0.116571428571429</v>
      </c>
      <c r="K37" s="12">
        <f>(I37-E37)/($F28-$B28)</f>
        <v>4.14285714285714</v>
      </c>
    </row>
    <row r="38" ht="14.25" spans="1:11">
      <c r="A38" s="3" t="s">
        <v>20</v>
      </c>
      <c r="B38" s="10">
        <v>0.8123</v>
      </c>
      <c r="C38" s="10">
        <v>0.7402</v>
      </c>
      <c r="D38" s="11">
        <v>9.3</v>
      </c>
      <c r="E38" s="12">
        <v>37</v>
      </c>
      <c r="F38" s="10">
        <v>1.6263</v>
      </c>
      <c r="G38" s="10">
        <v>1.485</v>
      </c>
      <c r="H38" s="11">
        <v>9.4</v>
      </c>
      <c r="I38" s="12">
        <v>62</v>
      </c>
      <c r="J38" s="13">
        <f>(F38-B38)/($F28-$B28)</f>
        <v>0.116285714285714</v>
      </c>
      <c r="K38" s="12">
        <f>(I38-E38)/($F28-$B28)</f>
        <v>3.57142857142857</v>
      </c>
    </row>
    <row r="39" ht="14.25" spans="1:11">
      <c r="A39" s="3" t="s">
        <v>22</v>
      </c>
      <c r="B39" s="10">
        <v>5.1303</v>
      </c>
      <c r="C39" s="10">
        <v>4.6849</v>
      </c>
      <c r="D39" s="11">
        <v>8.5</v>
      </c>
      <c r="E39" s="12">
        <v>100</v>
      </c>
      <c r="F39" s="10">
        <v>5.9349</v>
      </c>
      <c r="G39" s="10">
        <v>5.4126</v>
      </c>
      <c r="H39" s="11">
        <v>8.6</v>
      </c>
      <c r="I39" s="12">
        <v>117</v>
      </c>
      <c r="J39" s="13">
        <f>(F39-B39)/($F28-$B28)</f>
        <v>0.114942857142857</v>
      </c>
      <c r="K39" s="12">
        <f>(I39-E39)/($F28-$B28)</f>
        <v>2.42857142857143</v>
      </c>
    </row>
    <row r="40" ht="14.25" spans="1:1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</row>
    <row r="41" ht="14.25" spans="1:11">
      <c r="A41" s="3"/>
      <c r="B41" s="4">
        <v>46194.125</v>
      </c>
      <c r="C41" s="5"/>
      <c r="D41" s="5"/>
      <c r="E41" s="6"/>
      <c r="F41" s="4">
        <v>46201.125</v>
      </c>
      <c r="G41" s="5"/>
      <c r="H41" s="5"/>
      <c r="I41" s="6"/>
      <c r="J41" s="3"/>
      <c r="K41" s="3"/>
    </row>
    <row r="42" ht="42.75" spans="1:11">
      <c r="A42" s="7"/>
      <c r="B42" s="8" t="s">
        <v>1</v>
      </c>
      <c r="C42" s="8" t="s">
        <v>2</v>
      </c>
      <c r="D42" s="8" t="s">
        <v>3</v>
      </c>
      <c r="E42" s="8" t="s">
        <v>4</v>
      </c>
      <c r="F42" s="8" t="s">
        <v>1</v>
      </c>
      <c r="G42" s="8" t="s">
        <v>2</v>
      </c>
      <c r="H42" s="8" t="s">
        <v>3</v>
      </c>
      <c r="I42" s="8" t="s">
        <v>4</v>
      </c>
      <c r="J42" s="8" t="s">
        <v>5</v>
      </c>
      <c r="K42" s="9" t="s">
        <v>6</v>
      </c>
    </row>
    <row r="43" ht="14.25" spans="1:11">
      <c r="A43" s="3" t="s">
        <v>7</v>
      </c>
      <c r="B43" s="10">
        <v>45.0059</v>
      </c>
      <c r="C43" s="10">
        <v>42.3585</v>
      </c>
      <c r="D43" s="11">
        <v>8.8</v>
      </c>
      <c r="E43" s="12">
        <v>916</v>
      </c>
      <c r="F43" s="10">
        <v>55.1491</v>
      </c>
      <c r="G43" s="10">
        <v>51.7231</v>
      </c>
      <c r="H43" s="11">
        <v>8.8</v>
      </c>
      <c r="I43" s="12">
        <v>1101</v>
      </c>
      <c r="J43" s="13">
        <f>(F43-B43)/($F41-$B41)</f>
        <v>1.44902857142857</v>
      </c>
      <c r="K43" s="12">
        <f>(I43-E43)/($F41-$B41)</f>
        <v>26.4285714285714</v>
      </c>
    </row>
    <row r="44" ht="14.25" spans="1:11">
      <c r="A44" s="3" t="s">
        <v>23</v>
      </c>
      <c r="B44" s="10">
        <v>0.1027</v>
      </c>
      <c r="C44" s="10">
        <v>0.0985</v>
      </c>
      <c r="D44" s="11">
        <v>9.8</v>
      </c>
      <c r="E44" s="12">
        <v>15</v>
      </c>
      <c r="F44" s="10">
        <v>3.3118</v>
      </c>
      <c r="G44" s="10">
        <v>3.1685</v>
      </c>
      <c r="H44" s="11">
        <v>9.8</v>
      </c>
      <c r="I44" s="12">
        <v>151</v>
      </c>
      <c r="J44" s="13">
        <f>(F44-B44)/($F41-$B41)</f>
        <v>0.458442857142857</v>
      </c>
      <c r="K44" s="12">
        <f>(I44-E44)/($F41-$B41)</f>
        <v>19.4285714285714</v>
      </c>
    </row>
    <row r="45" ht="14.25" spans="1:11">
      <c r="A45" s="3" t="s">
        <v>8</v>
      </c>
      <c r="B45" s="10">
        <v>52.2099</v>
      </c>
      <c r="C45" s="10">
        <v>51.8337</v>
      </c>
      <c r="D45" s="11">
        <v>8.1</v>
      </c>
      <c r="E45" s="12">
        <v>769</v>
      </c>
      <c r="F45" s="10">
        <v>55.3916</v>
      </c>
      <c r="G45" s="10">
        <v>54.8192</v>
      </c>
      <c r="H45" s="11">
        <v>8.2</v>
      </c>
      <c r="I45" s="12">
        <v>825</v>
      </c>
      <c r="J45" s="13">
        <f>(F45-B45)/($F41-$B41)</f>
        <v>0.454528571428571</v>
      </c>
      <c r="K45" s="12">
        <f>(I45-E45)/($F41-$B41)</f>
        <v>8</v>
      </c>
    </row>
    <row r="46" ht="14.25" spans="1:11">
      <c r="A46" s="3" t="s">
        <v>24</v>
      </c>
      <c r="B46" s="10">
        <v>0.4838</v>
      </c>
      <c r="C46" s="10">
        <v>0.4697</v>
      </c>
      <c r="D46" s="11">
        <v>9.1</v>
      </c>
      <c r="E46" s="12">
        <v>10</v>
      </c>
      <c r="F46" s="10">
        <v>3.4594</v>
      </c>
      <c r="G46" s="10">
        <v>3.2835</v>
      </c>
      <c r="H46" s="11">
        <v>8.5</v>
      </c>
      <c r="I46" s="12">
        <v>59</v>
      </c>
      <c r="J46" s="13">
        <f>(F46-B46)/($F41-$B41)</f>
        <v>0.425085714285714</v>
      </c>
      <c r="K46" s="12">
        <f>(I46-E46)/($F41-$B41)</f>
        <v>7</v>
      </c>
    </row>
    <row r="47" ht="14.25" spans="1:11">
      <c r="A47" s="3" t="s">
        <v>25</v>
      </c>
      <c r="B47" s="10">
        <v>0.5255</v>
      </c>
      <c r="C47" s="10">
        <v>0.4969</v>
      </c>
      <c r="D47" s="11">
        <v>9.2</v>
      </c>
      <c r="E47" s="12">
        <v>14</v>
      </c>
      <c r="F47" s="10">
        <v>3.1247</v>
      </c>
      <c r="G47" s="10">
        <v>2.9409</v>
      </c>
      <c r="H47" s="11">
        <v>7.3</v>
      </c>
      <c r="I47" s="12">
        <v>38</v>
      </c>
      <c r="J47" s="13">
        <f>(F47-B47)/($F41-$B41)</f>
        <v>0.371314285714286</v>
      </c>
      <c r="K47" s="12">
        <f>(I47-E47)/($F41-$B41)</f>
        <v>3.42857142857143</v>
      </c>
    </row>
    <row r="48" ht="14.25" spans="1:11">
      <c r="A48" s="3" t="s">
        <v>26</v>
      </c>
      <c r="B48" s="10">
        <v>0.6324</v>
      </c>
      <c r="C48" s="10">
        <v>0.6052</v>
      </c>
      <c r="D48" s="11">
        <v>9.4</v>
      </c>
      <c r="E48" s="12">
        <v>22</v>
      </c>
      <c r="F48" s="10">
        <v>2.7621</v>
      </c>
      <c r="G48" s="10">
        <v>2.6265</v>
      </c>
      <c r="H48" s="11">
        <v>9.2</v>
      </c>
      <c r="I48" s="12">
        <v>84</v>
      </c>
      <c r="J48" s="13">
        <f>(F48-B48)/($F41-$B41)</f>
        <v>0.304242857142857</v>
      </c>
      <c r="K48" s="12">
        <f>(I48-E48)/($F41-$B41)</f>
        <v>8.85714285714286</v>
      </c>
    </row>
    <row r="49" ht="14.25" spans="1:11">
      <c r="A49" s="3" t="s">
        <v>14</v>
      </c>
      <c r="B49" s="10">
        <v>4.1036</v>
      </c>
      <c r="C49" s="10">
        <v>4.0757</v>
      </c>
      <c r="D49" s="11">
        <v>7.4</v>
      </c>
      <c r="E49" s="12">
        <v>54</v>
      </c>
      <c r="F49" s="10">
        <v>5.8091</v>
      </c>
      <c r="G49" s="10">
        <v>5.7621</v>
      </c>
      <c r="H49" s="11">
        <v>7.1</v>
      </c>
      <c r="I49" s="12">
        <v>67</v>
      </c>
      <c r="J49" s="13">
        <f>(F49-B49)/($F41-$B41)</f>
        <v>0.243642857142857</v>
      </c>
      <c r="K49" s="12">
        <f>(I49-E49)/($F41-$B41)</f>
        <v>1.85714285714286</v>
      </c>
    </row>
    <row r="50" ht="14.25" spans="1:11">
      <c r="A50" s="3" t="s">
        <v>27</v>
      </c>
      <c r="B50" s="10">
        <v>0.8619</v>
      </c>
      <c r="C50" s="10">
        <v>0.7997</v>
      </c>
      <c r="D50" s="11">
        <v>9.4</v>
      </c>
      <c r="E50" s="12">
        <v>48</v>
      </c>
      <c r="F50" s="10">
        <v>2.1259</v>
      </c>
      <c r="G50" s="10">
        <v>1.9595</v>
      </c>
      <c r="H50" s="11">
        <v>8.9</v>
      </c>
      <c r="I50" s="12">
        <v>100</v>
      </c>
      <c r="J50" s="13">
        <f>(F50-B50)/($F41-$B41)</f>
        <v>0.180571428571429</v>
      </c>
      <c r="K50" s="12">
        <f>(I50-E50)/($F41-$B41)</f>
        <v>7.42857142857143</v>
      </c>
    </row>
    <row r="51" ht="14.25" spans="1:11">
      <c r="A51" s="3" t="s">
        <v>28</v>
      </c>
      <c r="B51" s="10">
        <v>0.3606</v>
      </c>
      <c r="C51" s="10">
        <v>0.3105</v>
      </c>
      <c r="D51" s="11">
        <v>8.7</v>
      </c>
      <c r="E51" s="12">
        <v>47</v>
      </c>
      <c r="F51" s="10">
        <v>1.6217</v>
      </c>
      <c r="G51" s="10">
        <v>1.3991</v>
      </c>
      <c r="H51" s="11">
        <v>8.2</v>
      </c>
      <c r="I51" s="12">
        <v>99</v>
      </c>
      <c r="J51" s="13">
        <f>(F51-B51)/($F41-$B41)</f>
        <v>0.180157142857143</v>
      </c>
      <c r="K51" s="12">
        <f>(I51-E51)/($F41-$B41)</f>
        <v>7.42857142857143</v>
      </c>
    </row>
    <row r="52" ht="14.25" spans="1:11">
      <c r="A52" s="3" t="s">
        <v>15</v>
      </c>
      <c r="B52" s="10">
        <v>12.4023</v>
      </c>
      <c r="C52" s="10">
        <v>12.0901</v>
      </c>
      <c r="D52" s="11">
        <v>8</v>
      </c>
      <c r="E52" s="12">
        <v>135</v>
      </c>
      <c r="F52" s="10">
        <v>13.2985</v>
      </c>
      <c r="G52" s="10">
        <v>12.9004</v>
      </c>
      <c r="H52" s="11">
        <v>7.9</v>
      </c>
      <c r="I52" s="12">
        <v>142</v>
      </c>
      <c r="J52" s="13">
        <f>(F52-B52)/($F41-$B41)</f>
        <v>0.128028571428571</v>
      </c>
      <c r="K52" s="12">
        <f>(I52-E52)/($F41-$B41)</f>
        <v>1</v>
      </c>
    </row>
    <row r="53" ht="14.25" spans="1:1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</row>
    <row r="54" ht="14.25" spans="1:11">
      <c r="A54" s="3"/>
      <c r="B54" s="4">
        <v>46201.125</v>
      </c>
      <c r="C54" s="5"/>
      <c r="D54" s="5"/>
      <c r="E54" s="6"/>
      <c r="F54" s="4">
        <v>46208.125</v>
      </c>
      <c r="G54" s="5"/>
      <c r="H54" s="5"/>
      <c r="I54" s="6"/>
      <c r="J54" s="3"/>
      <c r="K54" s="3"/>
    </row>
    <row r="55" ht="42.75" spans="1:11">
      <c r="A55" s="7"/>
      <c r="B55" s="8" t="s">
        <v>1</v>
      </c>
      <c r="C55" s="8" t="s">
        <v>2</v>
      </c>
      <c r="D55" s="8" t="s">
        <v>3</v>
      </c>
      <c r="E55" s="8" t="s">
        <v>4</v>
      </c>
      <c r="F55" s="8" t="s">
        <v>1</v>
      </c>
      <c r="G55" s="8" t="s">
        <v>2</v>
      </c>
      <c r="H55" s="8" t="s">
        <v>3</v>
      </c>
      <c r="I55" s="8" t="s">
        <v>4</v>
      </c>
      <c r="J55" s="8" t="s">
        <v>5</v>
      </c>
      <c r="K55" s="9" t="s">
        <v>6</v>
      </c>
    </row>
    <row r="56" ht="14.25" spans="1:11">
      <c r="A56" s="3" t="s">
        <v>7</v>
      </c>
      <c r="B56" s="10">
        <v>55.1491</v>
      </c>
      <c r="C56" s="10">
        <v>51.7231</v>
      </c>
      <c r="D56" s="11">
        <v>8.8</v>
      </c>
      <c r="E56" s="12">
        <v>1101</v>
      </c>
      <c r="F56" s="10">
        <v>59.8462</v>
      </c>
      <c r="G56" s="10">
        <v>55.9915</v>
      </c>
      <c r="H56" s="11">
        <v>8.8</v>
      </c>
      <c r="I56" s="12">
        <v>1187</v>
      </c>
      <c r="J56" s="13">
        <f>(F56-B56)/($F54-$B54)</f>
        <v>0.671014285714287</v>
      </c>
      <c r="K56" s="12">
        <f>(I56-E56)/($F54-$B54)</f>
        <v>12.2857142857143</v>
      </c>
    </row>
    <row r="57" ht="14.25" spans="1:11">
      <c r="A57" s="3" t="s">
        <v>8</v>
      </c>
      <c r="B57" s="10">
        <v>55.3916</v>
      </c>
      <c r="C57" s="10">
        <v>54.8192</v>
      </c>
      <c r="D57" s="11">
        <v>8.2</v>
      </c>
      <c r="E57" s="12">
        <v>825</v>
      </c>
      <c r="F57" s="10">
        <v>57.4257</v>
      </c>
      <c r="G57" s="10">
        <v>56.7015</v>
      </c>
      <c r="H57" s="11">
        <v>8.2</v>
      </c>
      <c r="I57" s="12">
        <v>851</v>
      </c>
      <c r="J57" s="13">
        <f>(F57-B57)/($F54-$B54)</f>
        <v>0.290585714285715</v>
      </c>
      <c r="K57" s="12">
        <f>(I57-E57)/($F54-$B54)</f>
        <v>3.71428571428571</v>
      </c>
    </row>
    <row r="58" ht="14.25" spans="1:11">
      <c r="A58" s="3" t="s">
        <v>23</v>
      </c>
      <c r="B58" s="10">
        <v>3.3118</v>
      </c>
      <c r="C58" s="10">
        <v>3.1685</v>
      </c>
      <c r="D58" s="11">
        <v>9.8</v>
      </c>
      <c r="E58" s="12">
        <v>151</v>
      </c>
      <c r="F58" s="10">
        <v>5.1453</v>
      </c>
      <c r="G58" s="10">
        <v>4.9196</v>
      </c>
      <c r="H58" s="11">
        <v>9.6</v>
      </c>
      <c r="I58" s="12">
        <v>234</v>
      </c>
      <c r="J58" s="13">
        <f>(F58-B58)/($F54-$B54)</f>
        <v>0.261928571428571</v>
      </c>
      <c r="K58" s="12">
        <f>(I58-E58)/($F54-$B54)</f>
        <v>11.8571428571429</v>
      </c>
    </row>
    <row r="59" ht="14.25" spans="1:11">
      <c r="A59" s="3" t="s">
        <v>24</v>
      </c>
      <c r="B59" s="10">
        <v>3.4594</v>
      </c>
      <c r="C59" s="10">
        <v>3.2835</v>
      </c>
      <c r="D59" s="11">
        <v>8.5</v>
      </c>
      <c r="E59" s="12">
        <v>59</v>
      </c>
      <c r="F59" s="10">
        <v>4.6753</v>
      </c>
      <c r="G59" s="10">
        <v>4.4358</v>
      </c>
      <c r="H59" s="11">
        <v>8.4</v>
      </c>
      <c r="I59" s="12">
        <v>70</v>
      </c>
      <c r="J59" s="13">
        <f>(F59-B59)/($F54-$B54)</f>
        <v>0.1737</v>
      </c>
      <c r="K59" s="12">
        <f>(I59-E59)/($F54-$B54)</f>
        <v>1.57142857142857</v>
      </c>
    </row>
    <row r="60" ht="14.25" spans="1:11">
      <c r="A60" s="3" t="s">
        <v>29</v>
      </c>
      <c r="B60" s="10">
        <v>0.1704</v>
      </c>
      <c r="C60" s="10">
        <v>0.1573</v>
      </c>
      <c r="D60" s="11">
        <v>8.8</v>
      </c>
      <c r="E60" s="12">
        <v>12</v>
      </c>
      <c r="F60" s="10">
        <v>1.3682</v>
      </c>
      <c r="G60" s="10">
        <v>1.2726</v>
      </c>
      <c r="H60" s="11">
        <v>9</v>
      </c>
      <c r="I60" s="12">
        <v>21</v>
      </c>
      <c r="J60" s="13">
        <f>(F60-B60)/($F54-$B54)</f>
        <v>0.171114285714286</v>
      </c>
      <c r="K60" s="12">
        <f>(I60-E60)/($F54-$B54)</f>
        <v>1.28571428571429</v>
      </c>
    </row>
    <row r="61" ht="14.25" spans="1:11">
      <c r="A61" s="3" t="s">
        <v>14</v>
      </c>
      <c r="B61" s="10">
        <v>5.8091</v>
      </c>
      <c r="C61" s="10">
        <v>5.7621</v>
      </c>
      <c r="D61" s="11">
        <v>7.1</v>
      </c>
      <c r="E61" s="12">
        <v>67</v>
      </c>
      <c r="F61" s="10">
        <v>6.8855</v>
      </c>
      <c r="G61" s="10">
        <v>6.8298</v>
      </c>
      <c r="H61" s="11">
        <v>7.1</v>
      </c>
      <c r="I61" s="12">
        <v>72</v>
      </c>
      <c r="J61" s="13">
        <f>(F61-B61)/($F54-$B54)</f>
        <v>0.153771428571429</v>
      </c>
      <c r="K61" s="12">
        <f>(I61-E61)/($F54-$B54)</f>
        <v>0.714285714285714</v>
      </c>
    </row>
    <row r="62" ht="14.25" spans="1:11">
      <c r="A62" s="3" t="s">
        <v>26</v>
      </c>
      <c r="B62" s="10">
        <v>2.7621</v>
      </c>
      <c r="C62" s="10">
        <v>2.6265</v>
      </c>
      <c r="D62" s="11">
        <v>9.2</v>
      </c>
      <c r="E62" s="12">
        <v>84</v>
      </c>
      <c r="F62" s="10">
        <v>3.7985</v>
      </c>
      <c r="G62" s="10">
        <v>3.5957</v>
      </c>
      <c r="H62" s="11">
        <v>9</v>
      </c>
      <c r="I62" s="12">
        <v>114</v>
      </c>
      <c r="J62" s="13">
        <f>(F62-B62)/($F54-$B54)</f>
        <v>0.148057142857143</v>
      </c>
      <c r="K62" s="12">
        <f>(I62-E62)/($F54-$B54)</f>
        <v>4.28571428571429</v>
      </c>
    </row>
    <row r="63" ht="14.25" spans="1:11">
      <c r="A63" s="3" t="s">
        <v>25</v>
      </c>
      <c r="B63" s="10">
        <v>3.1247</v>
      </c>
      <c r="C63" s="10">
        <v>2.9409</v>
      </c>
      <c r="D63" s="11">
        <v>7.3</v>
      </c>
      <c r="E63" s="12">
        <v>38</v>
      </c>
      <c r="F63" s="10">
        <v>3.9314</v>
      </c>
      <c r="G63" s="10">
        <v>3.6757</v>
      </c>
      <c r="H63" s="11">
        <v>7.2</v>
      </c>
      <c r="I63" s="12">
        <v>44</v>
      </c>
      <c r="J63" s="13">
        <f>(F63-B63)/($F54-$B54)</f>
        <v>0.115242857142857</v>
      </c>
      <c r="K63" s="12">
        <f>(I63-E63)/($F54-$B54)</f>
        <v>0.857142857142857</v>
      </c>
    </row>
    <row r="64" ht="14.25" spans="1:11">
      <c r="A64" s="3" t="s">
        <v>21</v>
      </c>
      <c r="B64" s="10">
        <v>13.5676</v>
      </c>
      <c r="C64" s="10">
        <v>13.055</v>
      </c>
      <c r="D64" s="11">
        <v>7.5</v>
      </c>
      <c r="E64" s="12">
        <v>311</v>
      </c>
      <c r="F64" s="10">
        <v>14.3028</v>
      </c>
      <c r="G64" s="10">
        <v>13.7316</v>
      </c>
      <c r="H64" s="11">
        <v>7.5</v>
      </c>
      <c r="I64" s="12">
        <v>322</v>
      </c>
      <c r="J64" s="13">
        <f>(F64-B64)/($F54-$B54)</f>
        <v>0.105028571428571</v>
      </c>
      <c r="K64" s="12">
        <f>(I64-E64)/($F54-$B54)</f>
        <v>1.57142857142857</v>
      </c>
    </row>
    <row r="65" ht="14.25" spans="1:11">
      <c r="A65" s="3" t="s">
        <v>30</v>
      </c>
      <c r="B65" s="10">
        <v>0.3844</v>
      </c>
      <c r="C65" s="10">
        <v>0.3504</v>
      </c>
      <c r="D65" s="11">
        <v>7.6</v>
      </c>
      <c r="E65" s="12">
        <v>55</v>
      </c>
      <c r="F65" s="10">
        <v>1.0758</v>
      </c>
      <c r="G65" s="10">
        <v>0.9854</v>
      </c>
      <c r="H65" s="11">
        <v>7.5</v>
      </c>
      <c r="I65" s="12">
        <v>73</v>
      </c>
      <c r="J65" s="13">
        <f>(F65-B65)/($F54-$B54)</f>
        <v>0.0987714285714286</v>
      </c>
      <c r="K65" s="12">
        <f>(I65-E65)/($F54-$B54)</f>
        <v>2.57142857142857</v>
      </c>
    </row>
    <row r="66" ht="14.25" spans="1:1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</row>
    <row r="67" ht="14.25" spans="1:11">
      <c r="A67" s="3"/>
      <c r="B67" s="4">
        <v>46208.125</v>
      </c>
      <c r="C67" s="5"/>
      <c r="D67" s="5"/>
      <c r="E67" s="6"/>
      <c r="F67" s="4">
        <v>46215.125</v>
      </c>
      <c r="G67" s="5"/>
      <c r="H67" s="5"/>
      <c r="I67" s="6"/>
      <c r="J67" s="3"/>
      <c r="K67" s="3"/>
    </row>
    <row r="68" ht="42.75" spans="1:11">
      <c r="A68" s="7"/>
      <c r="B68" s="8" t="s">
        <v>1</v>
      </c>
      <c r="C68" s="8" t="s">
        <v>2</v>
      </c>
      <c r="D68" s="8" t="s">
        <v>3</v>
      </c>
      <c r="E68" s="8" t="s">
        <v>4</v>
      </c>
      <c r="F68" s="8" t="s">
        <v>1</v>
      </c>
      <c r="G68" s="8" t="s">
        <v>2</v>
      </c>
      <c r="H68" s="8" t="s">
        <v>3</v>
      </c>
      <c r="I68" s="8" t="s">
        <v>4</v>
      </c>
      <c r="J68" s="8" t="s">
        <v>5</v>
      </c>
      <c r="K68" s="9" t="s">
        <v>6</v>
      </c>
    </row>
    <row r="69" ht="14.25" spans="1:11">
      <c r="A69" s="3" t="s">
        <v>7</v>
      </c>
      <c r="B69" s="10">
        <v>59.8462</v>
      </c>
      <c r="C69" s="10">
        <v>55.9915</v>
      </c>
      <c r="D69" s="11">
        <v>8.8</v>
      </c>
      <c r="E69" s="12">
        <v>1187</v>
      </c>
      <c r="F69" s="10">
        <v>65.0126</v>
      </c>
      <c r="G69" s="10">
        <v>60.663</v>
      </c>
      <c r="H69" s="11">
        <v>8.8</v>
      </c>
      <c r="I69" s="12">
        <v>1289</v>
      </c>
      <c r="J69" s="13">
        <f>(F69-B69)/($F67-$B67)</f>
        <v>0.738057142857143</v>
      </c>
      <c r="K69" s="12">
        <f>(I69-E69)/($F67-$B67)</f>
        <v>14.5714285714286</v>
      </c>
    </row>
    <row r="70" ht="14.25" spans="1:11">
      <c r="A70" s="3" t="s">
        <v>8</v>
      </c>
      <c r="B70" s="10">
        <v>57.4257</v>
      </c>
      <c r="C70" s="10">
        <v>56.7015</v>
      </c>
      <c r="D70" s="11">
        <v>8.2</v>
      </c>
      <c r="E70" s="12">
        <v>851</v>
      </c>
      <c r="F70" s="10">
        <v>60.0212</v>
      </c>
      <c r="G70" s="10">
        <v>59.0739</v>
      </c>
      <c r="H70" s="11">
        <v>8.2</v>
      </c>
      <c r="I70" s="12">
        <v>892</v>
      </c>
      <c r="J70" s="13">
        <f>(F70-B70)/($F67-$B67)</f>
        <v>0.370785714285714</v>
      </c>
      <c r="K70" s="12">
        <f>(I70-E70)/($F67-$B67)</f>
        <v>5.85714285714286</v>
      </c>
    </row>
    <row r="71" ht="14.25" spans="1:11">
      <c r="A71" s="3" t="s">
        <v>23</v>
      </c>
      <c r="B71" s="10">
        <v>5.1453</v>
      </c>
      <c r="C71" s="10">
        <v>4.9196</v>
      </c>
      <c r="D71" s="11">
        <v>9.6</v>
      </c>
      <c r="E71" s="12">
        <v>234</v>
      </c>
      <c r="F71" s="10">
        <v>7.1615</v>
      </c>
      <c r="G71" s="10">
        <v>6.8216</v>
      </c>
      <c r="H71" s="11">
        <v>9.6</v>
      </c>
      <c r="I71" s="12">
        <v>294</v>
      </c>
      <c r="J71" s="13">
        <f>(F71-B71)/($F67-$B67)</f>
        <v>0.288028571428571</v>
      </c>
      <c r="K71" s="12">
        <f>(I71-E71)/($F67-$B67)</f>
        <v>8.57142857142857</v>
      </c>
    </row>
    <row r="72" ht="14.25" spans="1:11">
      <c r="A72" s="3" t="s">
        <v>14</v>
      </c>
      <c r="B72" s="10">
        <v>6.8855</v>
      </c>
      <c r="C72" s="10">
        <v>6.8298</v>
      </c>
      <c r="D72" s="11">
        <v>7.1</v>
      </c>
      <c r="E72" s="12">
        <v>72</v>
      </c>
      <c r="F72" s="10">
        <v>8.4402</v>
      </c>
      <c r="G72" s="10">
        <v>8.3755</v>
      </c>
      <c r="H72" s="11">
        <v>7</v>
      </c>
      <c r="I72" s="12">
        <v>80</v>
      </c>
      <c r="J72" s="13">
        <f>(F72-B72)/($F67-$B67)</f>
        <v>0.2221</v>
      </c>
      <c r="K72" s="12">
        <f>(I72-E72)/($F67-$B67)</f>
        <v>1.14285714285714</v>
      </c>
    </row>
    <row r="73" ht="14.25" spans="1:11">
      <c r="A73" s="3" t="s">
        <v>21</v>
      </c>
      <c r="B73" s="10">
        <v>14.3028</v>
      </c>
      <c r="C73" s="10">
        <v>13.7316</v>
      </c>
      <c r="D73" s="11">
        <v>7.5</v>
      </c>
      <c r="E73" s="12">
        <v>322</v>
      </c>
      <c r="F73" s="10">
        <v>15.6708</v>
      </c>
      <c r="G73" s="10">
        <v>15.0188</v>
      </c>
      <c r="H73" s="11">
        <v>7.5</v>
      </c>
      <c r="I73" s="12">
        <v>330</v>
      </c>
      <c r="J73" s="13">
        <f>(F73-B73)/($F67-$B67)</f>
        <v>0.195428571428571</v>
      </c>
      <c r="K73" s="12">
        <f>(I73-E73)/($F67-$B67)</f>
        <v>1.14285714285714</v>
      </c>
    </row>
    <row r="74" ht="14.25" spans="1:11">
      <c r="A74" s="3" t="s">
        <v>31</v>
      </c>
      <c r="B74" s="10">
        <v>1.2697</v>
      </c>
      <c r="C74" s="10">
        <v>1.1144</v>
      </c>
      <c r="D74" s="11">
        <v>8.9</v>
      </c>
      <c r="E74" s="12">
        <v>47</v>
      </c>
      <c r="F74" s="10">
        <v>2.6126</v>
      </c>
      <c r="G74" s="10">
        <v>2.2817</v>
      </c>
      <c r="H74" s="11">
        <v>8.7</v>
      </c>
      <c r="I74" s="12">
        <v>77</v>
      </c>
      <c r="J74" s="13">
        <f>(F74-B74)/($F67-$B67)</f>
        <v>0.191842857142857</v>
      </c>
      <c r="K74" s="12">
        <f>(I74-E74)/($F67-$B67)</f>
        <v>4.28571428571429</v>
      </c>
    </row>
    <row r="75" ht="14.25" spans="1:11">
      <c r="A75" s="3" t="s">
        <v>32</v>
      </c>
      <c r="B75" s="10">
        <v>0.8429</v>
      </c>
      <c r="C75" s="10">
        <v>0.8478</v>
      </c>
      <c r="D75" s="11">
        <v>9.1</v>
      </c>
      <c r="E75" s="12">
        <v>24</v>
      </c>
      <c r="F75" s="10">
        <v>2.0765</v>
      </c>
      <c r="G75" s="10">
        <v>2.0756</v>
      </c>
      <c r="H75" s="11">
        <v>9.3</v>
      </c>
      <c r="I75" s="12">
        <v>43</v>
      </c>
      <c r="J75" s="13">
        <f>(F75-B75)/($F67-$B67)</f>
        <v>0.176228571428571</v>
      </c>
      <c r="K75" s="12">
        <f>(I75-E75)/($F67-$B67)</f>
        <v>2.71428571428571</v>
      </c>
    </row>
    <row r="76" ht="14.25" spans="1:11">
      <c r="A76" s="3" t="s">
        <v>26</v>
      </c>
      <c r="B76" s="10">
        <v>3.7985</v>
      </c>
      <c r="C76" s="10">
        <v>3.5957</v>
      </c>
      <c r="D76" s="11">
        <v>9</v>
      </c>
      <c r="E76" s="12">
        <v>114</v>
      </c>
      <c r="F76" s="10">
        <v>4.977</v>
      </c>
      <c r="G76" s="10">
        <v>4.6901</v>
      </c>
      <c r="H76" s="11">
        <v>9</v>
      </c>
      <c r="I76" s="12">
        <v>142</v>
      </c>
      <c r="J76" s="13">
        <f>(F76-B76)/($F67-$B67)</f>
        <v>0.168357142857143</v>
      </c>
      <c r="K76" s="12">
        <f>(I76-E76)/($F67-$B67)</f>
        <v>4</v>
      </c>
    </row>
    <row r="77" ht="14.25" spans="1:11">
      <c r="A77" s="3" t="s">
        <v>29</v>
      </c>
      <c r="B77" s="10">
        <v>1.3682</v>
      </c>
      <c r="C77" s="10">
        <v>1.2726</v>
      </c>
      <c r="D77" s="11">
        <v>9</v>
      </c>
      <c r="E77" s="12">
        <v>21</v>
      </c>
      <c r="F77" s="10">
        <v>2.3862</v>
      </c>
      <c r="G77" s="10">
        <v>2.2262</v>
      </c>
      <c r="H77" s="11">
        <v>8.4</v>
      </c>
      <c r="I77" s="12">
        <v>26</v>
      </c>
      <c r="J77" s="13">
        <f>(F77-B77)/($F67-$B67)</f>
        <v>0.145428571428571</v>
      </c>
      <c r="K77" s="12">
        <f>(I77-E77)/($F67-$B67)</f>
        <v>0.714285714285714</v>
      </c>
    </row>
    <row r="78" ht="14.25" spans="1:11">
      <c r="A78" s="3" t="s">
        <v>24</v>
      </c>
      <c r="B78" s="10">
        <v>4.6753</v>
      </c>
      <c r="C78" s="10">
        <v>4.4358</v>
      </c>
      <c r="D78" s="11">
        <v>8.4</v>
      </c>
      <c r="E78" s="12">
        <v>70</v>
      </c>
      <c r="F78" s="10">
        <v>5.6611</v>
      </c>
      <c r="G78" s="10">
        <v>5.3519</v>
      </c>
      <c r="H78" s="11">
        <v>8.2</v>
      </c>
      <c r="I78" s="12">
        <v>82</v>
      </c>
      <c r="J78" s="13">
        <f>(F78-B78)/($F67-$B67)</f>
        <v>0.140828571428571</v>
      </c>
      <c r="K78" s="12">
        <f>(I78-E78)/($F67-$B67)</f>
        <v>1.71428571428571</v>
      </c>
    </row>
    <row r="79" ht="14.25" spans="1:1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</row>
    <row r="80" ht="14.25" spans="1:11">
      <c r="A80" s="3"/>
      <c r="B80" s="4">
        <v>46215.125</v>
      </c>
      <c r="C80" s="5"/>
      <c r="D80" s="5"/>
      <c r="E80" s="6"/>
      <c r="F80" s="4">
        <v>46222.125</v>
      </c>
      <c r="G80" s="5"/>
      <c r="H80" s="5"/>
      <c r="I80" s="6"/>
      <c r="J80" s="3"/>
      <c r="K80" s="3"/>
    </row>
    <row r="81" ht="42.75" spans="1:11">
      <c r="A81" s="7"/>
      <c r="B81" s="8" t="s">
        <v>1</v>
      </c>
      <c r="C81" s="8" t="s">
        <v>2</v>
      </c>
      <c r="D81" s="8" t="s">
        <v>3</v>
      </c>
      <c r="E81" s="8" t="s">
        <v>4</v>
      </c>
      <c r="F81" s="8" t="s">
        <v>1</v>
      </c>
      <c r="G81" s="8" t="s">
        <v>2</v>
      </c>
      <c r="H81" s="8" t="s">
        <v>3</v>
      </c>
      <c r="I81" s="8" t="s">
        <v>4</v>
      </c>
      <c r="J81" s="8" t="s">
        <v>5</v>
      </c>
      <c r="K81" s="9" t="s">
        <v>6</v>
      </c>
    </row>
    <row r="82" ht="14.25" spans="1:11">
      <c r="A82" s="3" t="s">
        <v>7</v>
      </c>
      <c r="B82" s="10">
        <v>65.0126</v>
      </c>
      <c r="C82" s="10">
        <v>60.663</v>
      </c>
      <c r="D82" s="11">
        <v>8.8</v>
      </c>
      <c r="E82" s="12">
        <v>1289</v>
      </c>
      <c r="F82" s="10">
        <v>69.1983</v>
      </c>
      <c r="G82" s="10">
        <v>64.3411</v>
      </c>
      <c r="H82" s="11">
        <v>8.8</v>
      </c>
      <c r="I82" s="12">
        <v>1373</v>
      </c>
      <c r="J82" s="13">
        <f>(F82-B82)/($F80-$B80)</f>
        <v>0.597957142857142</v>
      </c>
      <c r="K82" s="12">
        <f>(I82-E82)/($F80-$B80)</f>
        <v>12</v>
      </c>
    </row>
    <row r="83" ht="14.25" spans="1:11">
      <c r="A83" s="3" t="s">
        <v>8</v>
      </c>
      <c r="B83" s="10">
        <v>60.0212</v>
      </c>
      <c r="C83" s="10">
        <v>59.0739</v>
      </c>
      <c r="D83" s="11">
        <v>8.2</v>
      </c>
      <c r="E83" s="12">
        <v>892</v>
      </c>
      <c r="F83" s="10">
        <v>62.8164</v>
      </c>
      <c r="G83" s="10">
        <v>61.6248</v>
      </c>
      <c r="H83" s="11">
        <v>8.2</v>
      </c>
      <c r="I83" s="12">
        <v>941</v>
      </c>
      <c r="J83" s="13">
        <f>(F83-B83)/($F80-$B80)</f>
        <v>0.399314285714286</v>
      </c>
      <c r="K83" s="12">
        <f>(I83-E83)/($F80-$B80)</f>
        <v>7</v>
      </c>
    </row>
    <row r="84" ht="14.25" spans="1:11">
      <c r="A84" s="3" t="s">
        <v>23</v>
      </c>
      <c r="B84" s="10">
        <v>7.1615</v>
      </c>
      <c r="C84" s="10">
        <v>6.8216</v>
      </c>
      <c r="D84" s="11">
        <v>9.6</v>
      </c>
      <c r="E84" s="12">
        <v>294</v>
      </c>
      <c r="F84" s="10">
        <v>9.0861</v>
      </c>
      <c r="G84" s="10">
        <v>8.636</v>
      </c>
      <c r="H84" s="11">
        <v>9.7</v>
      </c>
      <c r="I84" s="12">
        <v>342</v>
      </c>
      <c r="J84" s="13">
        <f>(F84-B84)/($F80-$B80)</f>
        <v>0.274942857142857</v>
      </c>
      <c r="K84" s="12">
        <f>(I84-E84)/($F80-$B80)</f>
        <v>6.85714285714286</v>
      </c>
    </row>
    <row r="85" ht="14.25" spans="1:11">
      <c r="A85" s="3" t="s">
        <v>33</v>
      </c>
      <c r="B85" s="10">
        <v>3.0726</v>
      </c>
      <c r="C85" s="10">
        <v>2.7488</v>
      </c>
      <c r="D85" s="11">
        <v>8.1</v>
      </c>
      <c r="E85" s="12">
        <v>241</v>
      </c>
      <c r="F85" s="10">
        <v>4.7434</v>
      </c>
      <c r="G85" s="10">
        <v>4.1889</v>
      </c>
      <c r="H85" s="11">
        <v>8</v>
      </c>
      <c r="I85" s="12">
        <v>356</v>
      </c>
      <c r="J85" s="13">
        <f>(F85-B85)/($F80-$B80)</f>
        <v>0.238685714285714</v>
      </c>
      <c r="K85" s="12">
        <f>(I85-E85)/($F80-$B80)</f>
        <v>16.4285714285714</v>
      </c>
    </row>
    <row r="86" ht="14.25" spans="1:11">
      <c r="A86" s="3" t="s">
        <v>14</v>
      </c>
      <c r="B86" s="10">
        <v>8.4402</v>
      </c>
      <c r="C86" s="10">
        <v>8.3755</v>
      </c>
      <c r="D86" s="11">
        <v>7</v>
      </c>
      <c r="E86" s="12">
        <v>80</v>
      </c>
      <c r="F86" s="10">
        <v>9.8606</v>
      </c>
      <c r="G86" s="10">
        <v>9.7616</v>
      </c>
      <c r="H86" s="11">
        <v>7</v>
      </c>
      <c r="I86" s="12">
        <v>92</v>
      </c>
      <c r="J86" s="13">
        <f>(F86-B86)/($F80-$B80)</f>
        <v>0.202914285714286</v>
      </c>
      <c r="K86" s="12">
        <f>(I86-E86)/($F80-$B80)</f>
        <v>1.71428571428571</v>
      </c>
    </row>
    <row r="87" ht="14.25" spans="1:11">
      <c r="A87" s="3" t="s">
        <v>21</v>
      </c>
      <c r="B87" s="10">
        <v>15.6708</v>
      </c>
      <c r="C87" s="10">
        <v>15.0188</v>
      </c>
      <c r="D87" s="11">
        <v>7.5</v>
      </c>
      <c r="E87" s="12">
        <v>330</v>
      </c>
      <c r="F87" s="10">
        <v>17.0835</v>
      </c>
      <c r="G87" s="10">
        <v>16.3275</v>
      </c>
      <c r="H87" s="11">
        <v>7.5</v>
      </c>
      <c r="I87" s="12">
        <v>347</v>
      </c>
      <c r="J87" s="13">
        <f>(F87-B87)/($F80-$B80)</f>
        <v>0.201814285714286</v>
      </c>
      <c r="K87" s="12">
        <f>(I87-E87)/($F80-$B80)</f>
        <v>2.42857142857143</v>
      </c>
    </row>
    <row r="88" ht="14.25" spans="1:11">
      <c r="A88" s="3" t="s">
        <v>32</v>
      </c>
      <c r="B88" s="10">
        <v>2.0765</v>
      </c>
      <c r="C88" s="10">
        <v>2.0756</v>
      </c>
      <c r="D88" s="11">
        <v>9.3</v>
      </c>
      <c r="E88" s="12">
        <v>43</v>
      </c>
      <c r="F88" s="10">
        <v>3.4768</v>
      </c>
      <c r="G88" s="10">
        <v>3.4667</v>
      </c>
      <c r="H88" s="11">
        <v>9</v>
      </c>
      <c r="I88" s="12">
        <v>62</v>
      </c>
      <c r="J88" s="13">
        <f>(F88-B88)/($F80-$B80)</f>
        <v>0.200042857142857</v>
      </c>
      <c r="K88" s="12">
        <f>(I88-E88)/($F80-$B80)</f>
        <v>2.71428571428571</v>
      </c>
    </row>
    <row r="89" ht="14.25" spans="1:11">
      <c r="A89" s="3" t="s">
        <v>26</v>
      </c>
      <c r="B89" s="10">
        <v>4.977</v>
      </c>
      <c r="C89" s="10">
        <v>4.6901</v>
      </c>
      <c r="D89" s="11">
        <v>9</v>
      </c>
      <c r="E89" s="12">
        <v>142</v>
      </c>
      <c r="F89" s="10">
        <v>6.2537</v>
      </c>
      <c r="G89" s="10">
        <v>5.8753</v>
      </c>
      <c r="H89" s="11">
        <v>9</v>
      </c>
      <c r="I89" s="12">
        <v>173</v>
      </c>
      <c r="J89" s="13">
        <f>(F89-B89)/($F80-$B80)</f>
        <v>0.182385714285714</v>
      </c>
      <c r="K89" s="12">
        <f>(I89-E89)/($F80-$B80)</f>
        <v>4.42857142857143</v>
      </c>
    </row>
    <row r="90" ht="14.25" spans="1:11">
      <c r="A90" s="3" t="s">
        <v>31</v>
      </c>
      <c r="B90" s="10">
        <v>2.6126</v>
      </c>
      <c r="C90" s="10">
        <v>2.2817</v>
      </c>
      <c r="D90" s="11">
        <v>8.7</v>
      </c>
      <c r="E90" s="12">
        <v>77</v>
      </c>
      <c r="F90" s="10">
        <v>3.7394</v>
      </c>
      <c r="G90" s="10">
        <v>3.249</v>
      </c>
      <c r="H90" s="11">
        <v>8.4</v>
      </c>
      <c r="I90" s="12">
        <v>90</v>
      </c>
      <c r="J90" s="13">
        <f>(F90-B90)/($F80-$B80)</f>
        <v>0.160971428571429</v>
      </c>
      <c r="K90" s="12">
        <f>(I90-E90)/($F80-$B80)</f>
        <v>1.85714285714286</v>
      </c>
    </row>
    <row r="91" ht="14.25" spans="1:11">
      <c r="A91" s="3" t="s">
        <v>34</v>
      </c>
      <c r="B91" s="10">
        <v>0.9443</v>
      </c>
      <c r="C91" s="10">
        <v>0.8557</v>
      </c>
      <c r="D91" s="11">
        <v>8.9</v>
      </c>
      <c r="E91" s="12">
        <v>23</v>
      </c>
      <c r="F91" s="10">
        <v>1.929</v>
      </c>
      <c r="G91" s="10">
        <v>1.7281</v>
      </c>
      <c r="H91" s="11">
        <v>9</v>
      </c>
      <c r="I91" s="12">
        <v>46</v>
      </c>
      <c r="J91" s="13">
        <f>(F91-B91)/($F80-$B80)</f>
        <v>0.140671428571429</v>
      </c>
      <c r="K91" s="12">
        <f>(I91-E91)/($F80-$B80)</f>
        <v>3.28571428571429</v>
      </c>
    </row>
    <row r="92" ht="14.25" spans="1:1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</row>
    <row r="93" ht="14.25" spans="1:11">
      <c r="A93" s="3"/>
      <c r="B93" s="4">
        <v>46222.125</v>
      </c>
      <c r="C93" s="5"/>
      <c r="D93" s="5"/>
      <c r="E93" s="6"/>
      <c r="F93" s="4">
        <v>46229.125</v>
      </c>
      <c r="G93" s="5"/>
      <c r="H93" s="5"/>
      <c r="I93" s="6"/>
      <c r="J93" s="3"/>
      <c r="K93" s="3"/>
    </row>
    <row r="94" ht="42.75" spans="1:11">
      <c r="A94" s="7"/>
      <c r="B94" s="8" t="s">
        <v>1</v>
      </c>
      <c r="C94" s="8" t="s">
        <v>2</v>
      </c>
      <c r="D94" s="8" t="s">
        <v>3</v>
      </c>
      <c r="E94" s="8" t="s">
        <v>4</v>
      </c>
      <c r="F94" s="8" t="s">
        <v>1</v>
      </c>
      <c r="G94" s="8" t="s">
        <v>2</v>
      </c>
      <c r="H94" s="8" t="s">
        <v>3</v>
      </c>
      <c r="I94" s="8" t="s">
        <v>4</v>
      </c>
      <c r="J94" s="8" t="s">
        <v>5</v>
      </c>
      <c r="K94" s="9" t="s">
        <v>6</v>
      </c>
    </row>
    <row r="95" ht="14.25" spans="1:11">
      <c r="A95" s="3" t="s">
        <v>7</v>
      </c>
      <c r="B95" s="10">
        <v>69.1983</v>
      </c>
      <c r="C95" s="10">
        <v>64.3411</v>
      </c>
      <c r="D95" s="11">
        <v>8.8</v>
      </c>
      <c r="E95" s="12">
        <v>1373</v>
      </c>
      <c r="F95" s="10">
        <v>73.4116</v>
      </c>
      <c r="G95" s="10">
        <v>68.0362</v>
      </c>
      <c r="H95" s="11">
        <v>8.9</v>
      </c>
      <c r="I95" s="12">
        <v>1440</v>
      </c>
      <c r="J95" s="13">
        <f>(F95-B95)/($F93-$B93)</f>
        <v>0.601900000000001</v>
      </c>
      <c r="K95" s="12">
        <f>(I95-E95)/($F93-$B93)</f>
        <v>9.57142857142857</v>
      </c>
    </row>
    <row r="96" ht="14.25" spans="1:11">
      <c r="A96" s="3" t="s">
        <v>8</v>
      </c>
      <c r="B96" s="10">
        <v>62.8164</v>
      </c>
      <c r="C96" s="10">
        <v>61.6248</v>
      </c>
      <c r="D96" s="11">
        <v>8.2</v>
      </c>
      <c r="E96" s="12">
        <v>941</v>
      </c>
      <c r="F96" s="10">
        <v>65.7156</v>
      </c>
      <c r="G96" s="10">
        <v>64.2911</v>
      </c>
      <c r="H96" s="11">
        <v>8.3</v>
      </c>
      <c r="I96" s="12">
        <v>994</v>
      </c>
      <c r="J96" s="13">
        <f>(F96-B96)/($F93-$B93)</f>
        <v>0.414171428571428</v>
      </c>
      <c r="K96" s="12">
        <f>(I96-E96)/($F93-$B93)</f>
        <v>7.57142857142857</v>
      </c>
    </row>
    <row r="97" ht="14.25" spans="1:11">
      <c r="A97" s="3" t="s">
        <v>23</v>
      </c>
      <c r="B97" s="10">
        <v>9.0861</v>
      </c>
      <c r="C97" s="10">
        <v>8.636</v>
      </c>
      <c r="D97" s="11">
        <v>9.7</v>
      </c>
      <c r="E97" s="12">
        <v>342</v>
      </c>
      <c r="F97" s="10">
        <v>10.9866</v>
      </c>
      <c r="G97" s="10">
        <v>10.4049</v>
      </c>
      <c r="H97" s="11">
        <v>9.6</v>
      </c>
      <c r="I97" s="12">
        <v>397</v>
      </c>
      <c r="J97" s="13">
        <f>(F97-B97)/($F93-$B93)</f>
        <v>0.2715</v>
      </c>
      <c r="K97" s="12">
        <f>(I97-E97)/($F93-$B93)</f>
        <v>7.85714285714286</v>
      </c>
    </row>
    <row r="98" ht="14.25" spans="1:11">
      <c r="A98" s="3" t="s">
        <v>21</v>
      </c>
      <c r="B98" s="10">
        <v>17.0835</v>
      </c>
      <c r="C98" s="10">
        <v>16.3275</v>
      </c>
      <c r="D98" s="11">
        <v>7.5</v>
      </c>
      <c r="E98" s="12">
        <v>347</v>
      </c>
      <c r="F98" s="10">
        <v>18.6793</v>
      </c>
      <c r="G98" s="10">
        <v>17.7936</v>
      </c>
      <c r="H98" s="11">
        <v>7.6</v>
      </c>
      <c r="I98" s="12">
        <v>364</v>
      </c>
      <c r="J98" s="13">
        <f>(F98-B98)/($F93-$B93)</f>
        <v>0.227971428571429</v>
      </c>
      <c r="K98" s="12">
        <f>(I98-E98)/($F93-$B93)</f>
        <v>2.42857142857143</v>
      </c>
    </row>
    <row r="99" ht="14.25" spans="1:11">
      <c r="A99" s="3" t="s">
        <v>26</v>
      </c>
      <c r="B99" s="10">
        <v>6.2537</v>
      </c>
      <c r="C99" s="10">
        <v>5.8753</v>
      </c>
      <c r="D99" s="11">
        <v>9</v>
      </c>
      <c r="E99" s="12">
        <v>173</v>
      </c>
      <c r="F99" s="10">
        <v>7.8071</v>
      </c>
      <c r="G99" s="10">
        <v>7.3346</v>
      </c>
      <c r="H99" s="11">
        <v>9</v>
      </c>
      <c r="I99" s="12">
        <v>214</v>
      </c>
      <c r="J99" s="13">
        <f>(F99-B99)/($F93-$B93)</f>
        <v>0.221914285714286</v>
      </c>
      <c r="K99" s="12">
        <f>(I99-E99)/($F93-$B93)</f>
        <v>5.85714285714286</v>
      </c>
    </row>
    <row r="100" ht="14.25" spans="1:11">
      <c r="A100" s="3" t="s">
        <v>35</v>
      </c>
      <c r="B100" s="10">
        <v>0.4937</v>
      </c>
      <c r="C100" s="10">
        <v>0.4591</v>
      </c>
      <c r="D100" s="11">
        <v>9.2</v>
      </c>
      <c r="E100" s="12">
        <v>78</v>
      </c>
      <c r="F100" s="10">
        <v>1.738</v>
      </c>
      <c r="G100" s="10">
        <v>1.6308</v>
      </c>
      <c r="H100" s="11">
        <v>9.5</v>
      </c>
      <c r="I100" s="12">
        <v>257</v>
      </c>
      <c r="J100" s="13">
        <f>(F100-B100)/($F93-$B93)</f>
        <v>0.177757142857143</v>
      </c>
      <c r="K100" s="12">
        <f>(I100-E100)/($F93-$B93)</f>
        <v>25.5714285714286</v>
      </c>
    </row>
    <row r="101" ht="14.25" spans="1:11">
      <c r="A101" s="3" t="s">
        <v>14</v>
      </c>
      <c r="B101" s="10">
        <v>9.8606</v>
      </c>
      <c r="C101" s="10">
        <v>9.7616</v>
      </c>
      <c r="D101" s="11">
        <v>7</v>
      </c>
      <c r="E101" s="12">
        <v>92</v>
      </c>
      <c r="F101" s="10">
        <v>10.9808</v>
      </c>
      <c r="G101" s="10">
        <v>10.8383</v>
      </c>
      <c r="H101" s="11">
        <v>6.9</v>
      </c>
      <c r="I101" s="12">
        <v>99</v>
      </c>
      <c r="J101" s="13">
        <f>(F101-B101)/($F93-$B93)</f>
        <v>0.160028571428571</v>
      </c>
      <c r="K101" s="12">
        <f>(I101-E101)/($F93-$B93)</f>
        <v>1</v>
      </c>
    </row>
    <row r="102" ht="14.25" spans="1:11">
      <c r="A102" s="3" t="s">
        <v>36</v>
      </c>
      <c r="B102" s="10">
        <v>3.9836</v>
      </c>
      <c r="C102" s="10">
        <v>3.4205</v>
      </c>
      <c r="D102" s="11">
        <v>8.9</v>
      </c>
      <c r="E102" s="12">
        <v>188</v>
      </c>
      <c r="F102" s="10">
        <v>5.0747</v>
      </c>
      <c r="G102" s="10">
        <v>4.3692</v>
      </c>
      <c r="H102" s="11">
        <v>9</v>
      </c>
      <c r="I102" s="12">
        <v>344</v>
      </c>
      <c r="J102" s="13">
        <f>(F102-B102)/($F93-$B93)</f>
        <v>0.155871428571429</v>
      </c>
      <c r="K102" s="12">
        <f>(I102-E102)/($F93-$B93)</f>
        <v>22.2857142857143</v>
      </c>
    </row>
    <row r="103" ht="14.25" spans="1:11">
      <c r="A103" s="3" t="s">
        <v>37</v>
      </c>
      <c r="B103" s="10">
        <v>2.2252</v>
      </c>
      <c r="C103" s="10">
        <v>2.2533</v>
      </c>
      <c r="D103" s="11">
        <v>7.3</v>
      </c>
      <c r="E103" s="12">
        <v>28</v>
      </c>
      <c r="F103" s="10">
        <v>3.2571</v>
      </c>
      <c r="G103" s="10">
        <v>3.2877</v>
      </c>
      <c r="H103" s="11">
        <v>6.8</v>
      </c>
      <c r="I103" s="12">
        <v>41</v>
      </c>
      <c r="J103" s="13">
        <f>(F103-B103)/($F93-$B93)</f>
        <v>0.147414285714286</v>
      </c>
      <c r="K103" s="12">
        <f>(I103-E103)/($F93-$B93)</f>
        <v>1.85714285714286</v>
      </c>
    </row>
    <row r="104" ht="14.25" spans="1:11">
      <c r="A104" s="3" t="s">
        <v>31</v>
      </c>
      <c r="B104" s="10">
        <v>3.7394</v>
      </c>
      <c r="C104" s="10">
        <v>3.249</v>
      </c>
      <c r="D104" s="11">
        <v>8.4</v>
      </c>
      <c r="E104" s="12">
        <v>90</v>
      </c>
      <c r="F104" s="10">
        <v>4.7464</v>
      </c>
      <c r="G104" s="10">
        <v>4.1161</v>
      </c>
      <c r="H104" s="11">
        <v>8.3</v>
      </c>
      <c r="I104" s="12">
        <v>111</v>
      </c>
      <c r="J104" s="13">
        <f>(F104-B104)/($F93-$B93)</f>
        <v>0.143857142857143</v>
      </c>
      <c r="K104" s="12">
        <f>(I104-E104)/($F93-$B93)</f>
        <v>3</v>
      </c>
    </row>
    <row r="105" ht="14.25" spans="1:1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</row>
    <row r="106" ht="14.25" spans="1:11">
      <c r="A106" s="3"/>
      <c r="B106" s="4">
        <v>46229.125</v>
      </c>
      <c r="C106" s="5"/>
      <c r="D106" s="5"/>
      <c r="E106" s="6"/>
      <c r="F106" s="4">
        <v>46236.125</v>
      </c>
      <c r="G106" s="5"/>
      <c r="H106" s="5"/>
      <c r="I106" s="6"/>
      <c r="J106" s="3"/>
      <c r="K106" s="3"/>
    </row>
    <row r="107" ht="42.75" spans="1:11">
      <c r="A107" s="7"/>
      <c r="B107" s="8" t="s">
        <v>1</v>
      </c>
      <c r="C107" s="8" t="s">
        <v>2</v>
      </c>
      <c r="D107" s="8" t="s">
        <v>3</v>
      </c>
      <c r="E107" s="8" t="s">
        <v>4</v>
      </c>
      <c r="F107" s="8" t="s">
        <v>1</v>
      </c>
      <c r="G107" s="8" t="s">
        <v>2</v>
      </c>
      <c r="H107" s="8" t="s">
        <v>3</v>
      </c>
      <c r="I107" s="8" t="s">
        <v>4</v>
      </c>
      <c r="J107" s="8" t="s">
        <v>5</v>
      </c>
      <c r="K107" s="9" t="s">
        <v>6</v>
      </c>
    </row>
    <row r="108" ht="14.25" spans="1:11">
      <c r="A108" s="3" t="s">
        <v>7</v>
      </c>
      <c r="B108" s="10">
        <v>73.4116</v>
      </c>
      <c r="C108" s="10">
        <v>68.0362</v>
      </c>
      <c r="D108" s="11">
        <v>8.9</v>
      </c>
      <c r="E108" s="12">
        <v>1440</v>
      </c>
      <c r="F108" s="10">
        <v>77.6172</v>
      </c>
      <c r="G108" s="10">
        <v>71.7084</v>
      </c>
      <c r="H108" s="11">
        <v>8.9</v>
      </c>
      <c r="I108" s="12">
        <v>1525</v>
      </c>
      <c r="J108" s="13">
        <f>(F108-B108)/($F106-$B106)</f>
        <v>0.600799999999999</v>
      </c>
      <c r="K108" s="12">
        <f>(I108-E108)/($F106-$B106)</f>
        <v>12.1428571428571</v>
      </c>
    </row>
    <row r="109" ht="14.25" spans="1:11">
      <c r="A109" s="3" t="s">
        <v>8</v>
      </c>
      <c r="B109" s="10">
        <v>65.7156</v>
      </c>
      <c r="C109" s="10">
        <v>64.2911</v>
      </c>
      <c r="D109" s="11">
        <v>8.3</v>
      </c>
      <c r="E109" s="12">
        <v>994</v>
      </c>
      <c r="F109" s="10">
        <v>68.7565</v>
      </c>
      <c r="G109" s="10">
        <v>67.086</v>
      </c>
      <c r="H109" s="11">
        <v>8.3</v>
      </c>
      <c r="I109" s="12">
        <v>1051</v>
      </c>
      <c r="J109" s="13">
        <f>(F109-B109)/($F106-$B106)</f>
        <v>0.434414285714287</v>
      </c>
      <c r="K109" s="12">
        <f>(I109-E109)/($F106-$B106)</f>
        <v>8.14285714285714</v>
      </c>
    </row>
    <row r="110" ht="14.25" spans="1:11">
      <c r="A110" s="3" t="s">
        <v>38</v>
      </c>
      <c r="B110" s="10">
        <v>1.575</v>
      </c>
      <c r="C110" s="10">
        <v>1.388</v>
      </c>
      <c r="D110" s="11">
        <v>8.4</v>
      </c>
      <c r="E110" s="12">
        <v>73</v>
      </c>
      <c r="F110" s="10">
        <v>3.5929</v>
      </c>
      <c r="G110" s="10">
        <v>3.1893</v>
      </c>
      <c r="H110" s="11">
        <v>8.1</v>
      </c>
      <c r="I110" s="12">
        <v>108</v>
      </c>
      <c r="J110" s="13">
        <f>(F110-B110)/($F106-$B106)</f>
        <v>0.288271428571429</v>
      </c>
      <c r="K110" s="12">
        <f>(I110-E110)/($F106-$B106)</f>
        <v>5</v>
      </c>
    </row>
    <row r="111" ht="14.25" spans="1:11">
      <c r="A111" s="3" t="s">
        <v>26</v>
      </c>
      <c r="B111" s="10">
        <v>7.8071</v>
      </c>
      <c r="C111" s="10">
        <v>7.3346</v>
      </c>
      <c r="D111" s="11">
        <v>9</v>
      </c>
      <c r="E111" s="12">
        <v>214</v>
      </c>
      <c r="F111" s="10">
        <v>9.449</v>
      </c>
      <c r="G111" s="10">
        <v>8.8687</v>
      </c>
      <c r="H111" s="11">
        <v>9.1</v>
      </c>
      <c r="I111" s="12">
        <v>248</v>
      </c>
      <c r="J111" s="13">
        <f>(F111-B111)/($F106-$B106)</f>
        <v>0.234557142857143</v>
      </c>
      <c r="K111" s="12">
        <f>(I111-E111)/($F106-$B106)</f>
        <v>4.85714285714286</v>
      </c>
    </row>
    <row r="112" ht="14.25" spans="1:11">
      <c r="A112" s="3" t="s">
        <v>39</v>
      </c>
      <c r="B112" s="10">
        <v>0.9015</v>
      </c>
      <c r="C112" s="10">
        <v>0.7901</v>
      </c>
      <c r="D112" s="11">
        <v>7.6</v>
      </c>
      <c r="E112" s="12">
        <v>23</v>
      </c>
      <c r="F112" s="10">
        <v>2.4686</v>
      </c>
      <c r="G112" s="10">
        <v>2.207</v>
      </c>
      <c r="H112" s="11">
        <v>7.5</v>
      </c>
      <c r="I112" s="12">
        <v>51</v>
      </c>
      <c r="J112" s="13">
        <f>(F112-B112)/($F106-$B106)</f>
        <v>0.223871428571429</v>
      </c>
      <c r="K112" s="12">
        <f>(I112-E112)/($F106-$B106)</f>
        <v>4</v>
      </c>
    </row>
    <row r="113" ht="14.25" spans="1:11">
      <c r="A113" s="3" t="s">
        <v>23</v>
      </c>
      <c r="B113" s="10">
        <v>10.9866</v>
      </c>
      <c r="C113" s="10">
        <v>10.4049</v>
      </c>
      <c r="D113" s="11">
        <v>9.6</v>
      </c>
      <c r="E113" s="12">
        <v>397</v>
      </c>
      <c r="F113" s="10">
        <v>12.5012</v>
      </c>
      <c r="G113" s="10">
        <v>11.8239</v>
      </c>
      <c r="H113" s="11">
        <v>9.6</v>
      </c>
      <c r="I113" s="12">
        <v>442</v>
      </c>
      <c r="J113" s="13">
        <f>(F113-B113)/($F106-$B106)</f>
        <v>0.216371428571429</v>
      </c>
      <c r="K113" s="12">
        <f>(I113-E113)/($F106-$B106)</f>
        <v>6.42857142857143</v>
      </c>
    </row>
    <row r="114" ht="14.25" spans="1:11">
      <c r="A114" s="3" t="s">
        <v>37</v>
      </c>
      <c r="B114" s="10">
        <v>3.2571</v>
      </c>
      <c r="C114" s="10">
        <v>3.2877</v>
      </c>
      <c r="D114" s="11">
        <v>6.8</v>
      </c>
      <c r="E114" s="12">
        <v>41</v>
      </c>
      <c r="F114" s="10">
        <v>4.7608</v>
      </c>
      <c r="G114" s="10">
        <v>4.7972</v>
      </c>
      <c r="H114" s="11">
        <v>6.9</v>
      </c>
      <c r="I114" s="12">
        <v>53</v>
      </c>
      <c r="J114" s="13">
        <f>(F114-B114)/($F106-$B106)</f>
        <v>0.214814285714286</v>
      </c>
      <c r="K114" s="12">
        <f>(I114-E114)/($F106-$B106)</f>
        <v>1.71428571428571</v>
      </c>
    </row>
    <row r="115" ht="14.25" spans="1:11">
      <c r="A115" s="3" t="s">
        <v>21</v>
      </c>
      <c r="B115" s="10">
        <v>18.6793</v>
      </c>
      <c r="C115" s="10">
        <v>17.7936</v>
      </c>
      <c r="D115" s="11">
        <v>7.6</v>
      </c>
      <c r="E115" s="12">
        <v>364</v>
      </c>
      <c r="F115" s="10">
        <v>20.032</v>
      </c>
      <c r="G115" s="10">
        <v>19.0009</v>
      </c>
      <c r="H115" s="11">
        <v>7.6</v>
      </c>
      <c r="I115" s="12">
        <v>369</v>
      </c>
      <c r="J115" s="13">
        <f>(F115-B115)/($F106-$B106)</f>
        <v>0.193242857142857</v>
      </c>
      <c r="K115" s="12">
        <f>(I115-E115)/($F106-$B106)</f>
        <v>0.714285714285714</v>
      </c>
    </row>
    <row r="116" ht="14.25" spans="1:11">
      <c r="A116" s="3" t="s">
        <v>35</v>
      </c>
      <c r="B116" s="10">
        <v>1.738</v>
      </c>
      <c r="C116" s="10">
        <v>1.6308</v>
      </c>
      <c r="D116" s="11">
        <v>9.5</v>
      </c>
      <c r="E116" s="12">
        <v>257</v>
      </c>
      <c r="F116" s="10">
        <v>2.9374</v>
      </c>
      <c r="G116" s="10">
        <v>2.7595</v>
      </c>
      <c r="H116" s="11">
        <v>9.6</v>
      </c>
      <c r="I116" s="12">
        <v>400</v>
      </c>
      <c r="J116" s="13">
        <f>(F116-B116)/($F106-$B106)</f>
        <v>0.171342857142857</v>
      </c>
      <c r="K116" s="12">
        <f>(I116-E116)/($F106-$B106)</f>
        <v>20.4285714285714</v>
      </c>
    </row>
    <row r="117" ht="14.25" spans="1:11">
      <c r="A117" s="3" t="s">
        <v>40</v>
      </c>
      <c r="B117" s="10">
        <v>22.4292</v>
      </c>
      <c r="C117" s="10">
        <v>23.8971</v>
      </c>
      <c r="D117" s="11">
        <v>7</v>
      </c>
      <c r="E117" s="12">
        <v>168</v>
      </c>
      <c r="F117" s="10">
        <v>23.5344</v>
      </c>
      <c r="G117" s="10">
        <v>24.9925</v>
      </c>
      <c r="H117" s="11">
        <v>6.9</v>
      </c>
      <c r="I117" s="12">
        <v>173</v>
      </c>
      <c r="J117" s="13">
        <f>(F117-B117)/($F106-$B106)</f>
        <v>0.157885714285714</v>
      </c>
      <c r="K117" s="12">
        <f>(I117-E117)/($F106-$B106)</f>
        <v>0.714285714285714</v>
      </c>
    </row>
    <row r="118" ht="14.25" spans="1:1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</row>
    <row r="119" ht="14.25" spans="1:11">
      <c r="A119" s="3"/>
      <c r="B119" s="4">
        <v>46236.125</v>
      </c>
      <c r="C119" s="5"/>
      <c r="D119" s="5"/>
      <c r="E119" s="6"/>
      <c r="F119" s="4">
        <v>46243.125</v>
      </c>
      <c r="G119" s="5"/>
      <c r="H119" s="5"/>
      <c r="I119" s="6"/>
      <c r="J119" s="3"/>
      <c r="K119" s="3"/>
    </row>
    <row r="120" ht="42.75" spans="1:11">
      <c r="A120" s="7"/>
      <c r="B120" s="8" t="s">
        <v>1</v>
      </c>
      <c r="C120" s="8" t="s">
        <v>2</v>
      </c>
      <c r="D120" s="8" t="s">
        <v>3</v>
      </c>
      <c r="E120" s="8" t="s">
        <v>4</v>
      </c>
      <c r="F120" s="8" t="s">
        <v>1</v>
      </c>
      <c r="G120" s="8" t="s">
        <v>2</v>
      </c>
      <c r="H120" s="8" t="s">
        <v>3</v>
      </c>
      <c r="I120" s="8" t="s">
        <v>4</v>
      </c>
      <c r="J120" s="8" t="s">
        <v>5</v>
      </c>
      <c r="K120" s="9" t="s">
        <v>6</v>
      </c>
    </row>
    <row r="121" ht="14.25" spans="1:11">
      <c r="A121" s="3" t="s">
        <v>41</v>
      </c>
      <c r="B121" s="10">
        <v>1.0805</v>
      </c>
      <c r="C121" s="10">
        <v>1.0644</v>
      </c>
      <c r="D121" s="11">
        <v>4.5</v>
      </c>
      <c r="E121" s="12">
        <v>5</v>
      </c>
      <c r="F121" s="10">
        <v>6.2433</v>
      </c>
      <c r="G121" s="10">
        <v>6.1728</v>
      </c>
      <c r="H121" s="11">
        <v>7.7</v>
      </c>
      <c r="I121" s="12">
        <v>41</v>
      </c>
      <c r="J121" s="13">
        <f>(F121-B121)/($F119-$B119)</f>
        <v>0.737542857142857</v>
      </c>
      <c r="K121" s="12">
        <f>(I121-E121)/($F119-$B119)</f>
        <v>5.14285714285714</v>
      </c>
    </row>
    <row r="122" ht="14.25" spans="1:11">
      <c r="A122" s="3" t="s">
        <v>7</v>
      </c>
      <c r="B122" s="10">
        <v>77.6172</v>
      </c>
      <c r="C122" s="10">
        <v>71.7084</v>
      </c>
      <c r="D122" s="11">
        <v>8.9</v>
      </c>
      <c r="E122" s="12">
        <v>1525</v>
      </c>
      <c r="F122" s="10">
        <v>81.1323</v>
      </c>
      <c r="G122" s="10">
        <v>74.7497</v>
      </c>
      <c r="H122" s="11">
        <v>8.9</v>
      </c>
      <c r="I122" s="12">
        <v>1595</v>
      </c>
      <c r="J122" s="13">
        <f>(F122-B122)/($F119-$B119)</f>
        <v>0.502157142857143</v>
      </c>
      <c r="K122" s="12">
        <f>(I122-E122)/($F119-$B119)</f>
        <v>10</v>
      </c>
    </row>
    <row r="123" ht="14.25" spans="1:11">
      <c r="A123" s="3" t="s">
        <v>8</v>
      </c>
      <c r="B123" s="10">
        <v>68.7565</v>
      </c>
      <c r="C123" s="10">
        <v>67.086</v>
      </c>
      <c r="D123" s="11">
        <v>8.3</v>
      </c>
      <c r="E123" s="12">
        <v>1051</v>
      </c>
      <c r="F123" s="10">
        <v>71.6547</v>
      </c>
      <c r="G123" s="10">
        <v>69.7432</v>
      </c>
      <c r="H123" s="11">
        <v>8.3</v>
      </c>
      <c r="I123" s="12">
        <v>1102</v>
      </c>
      <c r="J123" s="13">
        <f>(F123-B123)/($F119-$B119)</f>
        <v>0.414028571428572</v>
      </c>
      <c r="K123" s="12">
        <f>(I123-E123)/($F119-$B119)</f>
        <v>7.28571428571429</v>
      </c>
    </row>
    <row r="124" ht="14.25" spans="1:11">
      <c r="A124" s="3" t="s">
        <v>42</v>
      </c>
      <c r="B124" s="10">
        <v>1.4092</v>
      </c>
      <c r="C124" s="10">
        <v>1.3132</v>
      </c>
      <c r="D124" s="11">
        <v>8.8</v>
      </c>
      <c r="E124" s="12">
        <v>58</v>
      </c>
      <c r="F124" s="10">
        <v>3.2177</v>
      </c>
      <c r="G124" s="10">
        <v>3.0027</v>
      </c>
      <c r="H124" s="11">
        <v>9</v>
      </c>
      <c r="I124" s="12">
        <v>121</v>
      </c>
      <c r="J124" s="13">
        <f>(F124-B124)/($F119-$B119)</f>
        <v>0.258357142857143</v>
      </c>
      <c r="K124" s="12">
        <f>(I124-E124)/($F119-$B119)</f>
        <v>9</v>
      </c>
    </row>
    <row r="125" ht="14.25" spans="1:11">
      <c r="A125" s="3" t="s">
        <v>23</v>
      </c>
      <c r="B125" s="10">
        <v>12.5012</v>
      </c>
      <c r="C125" s="10">
        <v>11.8239</v>
      </c>
      <c r="D125" s="11">
        <v>9.6</v>
      </c>
      <c r="E125" s="12">
        <v>442</v>
      </c>
      <c r="F125" s="10">
        <v>14.267</v>
      </c>
      <c r="G125" s="10">
        <v>13.4699</v>
      </c>
      <c r="H125" s="11">
        <v>9.6</v>
      </c>
      <c r="I125" s="12">
        <v>499</v>
      </c>
      <c r="J125" s="13">
        <f>(F125-B125)/($F119-$B119)</f>
        <v>0.252257142857143</v>
      </c>
      <c r="K125" s="12">
        <f>(I125-E125)/($F119-$B119)</f>
        <v>8.14285714285714</v>
      </c>
    </row>
    <row r="126" ht="14.25" spans="1:11">
      <c r="A126" s="3" t="s">
        <v>26</v>
      </c>
      <c r="B126" s="10">
        <v>9.449</v>
      </c>
      <c r="C126" s="10">
        <v>8.8687</v>
      </c>
      <c r="D126" s="11">
        <v>9.1</v>
      </c>
      <c r="E126" s="12">
        <v>248</v>
      </c>
      <c r="F126" s="10">
        <v>11.0739</v>
      </c>
      <c r="G126" s="10">
        <v>10.382</v>
      </c>
      <c r="H126" s="11">
        <v>9.1</v>
      </c>
      <c r="I126" s="12">
        <v>292</v>
      </c>
      <c r="J126" s="13">
        <f>(F126-B126)/($F119-$B119)</f>
        <v>0.232128571428571</v>
      </c>
      <c r="K126" s="12">
        <f>(I126-E126)/($F119-$B119)</f>
        <v>6.28571428571429</v>
      </c>
    </row>
    <row r="127" ht="14.25" spans="1:11">
      <c r="A127" s="3" t="s">
        <v>37</v>
      </c>
      <c r="B127" s="10">
        <v>4.7608</v>
      </c>
      <c r="C127" s="10">
        <v>4.7972</v>
      </c>
      <c r="D127" s="11">
        <v>6.9</v>
      </c>
      <c r="E127" s="12">
        <v>53</v>
      </c>
      <c r="F127" s="10">
        <v>6.3159</v>
      </c>
      <c r="G127" s="10">
        <v>6.3594</v>
      </c>
      <c r="H127" s="11">
        <v>6.8</v>
      </c>
      <c r="I127" s="12">
        <v>63</v>
      </c>
      <c r="J127" s="13">
        <f>(F127-B127)/($F119-$B119)</f>
        <v>0.222157142857143</v>
      </c>
      <c r="K127" s="12">
        <f>(I127-E127)/($F119-$B119)</f>
        <v>1.42857142857143</v>
      </c>
    </row>
    <row r="128" ht="14.25" spans="1:11">
      <c r="A128" s="3" t="s">
        <v>39</v>
      </c>
      <c r="B128" s="10">
        <v>2.4686</v>
      </c>
      <c r="C128" s="10">
        <v>2.207</v>
      </c>
      <c r="D128" s="11">
        <v>7.5</v>
      </c>
      <c r="E128" s="12">
        <v>51</v>
      </c>
      <c r="F128" s="10">
        <v>3.8239</v>
      </c>
      <c r="G128" s="10">
        <v>3.4051</v>
      </c>
      <c r="H128" s="11">
        <v>7.4</v>
      </c>
      <c r="I128" s="12">
        <v>70</v>
      </c>
      <c r="J128" s="13">
        <f>(F128-B128)/($F119-$B119)</f>
        <v>0.193614285714286</v>
      </c>
      <c r="K128" s="12">
        <f>(I128-E128)/($F119-$B119)</f>
        <v>2.71428571428571</v>
      </c>
    </row>
    <row r="129" ht="14.25" spans="1:11">
      <c r="A129" s="3" t="s">
        <v>43</v>
      </c>
      <c r="B129" s="10">
        <v>0.9687</v>
      </c>
      <c r="C129" s="10">
        <v>0.9025</v>
      </c>
      <c r="D129" s="11">
        <v>8.5</v>
      </c>
      <c r="E129" s="12">
        <v>24</v>
      </c>
      <c r="F129" s="10">
        <v>2.2826</v>
      </c>
      <c r="G129" s="10">
        <v>2.1922</v>
      </c>
      <c r="H129" s="11">
        <v>8.3</v>
      </c>
      <c r="I129" s="12">
        <v>42</v>
      </c>
      <c r="J129" s="13">
        <f>(F129-B129)/($F119-$B119)</f>
        <v>0.1877</v>
      </c>
      <c r="K129" s="12">
        <f>(I129-E129)/($F119-$B119)</f>
        <v>2.57142857142857</v>
      </c>
    </row>
    <row r="130" ht="14.25" spans="1:11">
      <c r="A130" s="3" t="s">
        <v>44</v>
      </c>
      <c r="B130" s="10">
        <v>1.0977</v>
      </c>
      <c r="C130" s="10">
        <v>1.0311</v>
      </c>
      <c r="D130" s="11">
        <v>8.4</v>
      </c>
      <c r="E130" s="12">
        <v>17</v>
      </c>
      <c r="F130" s="10">
        <v>2.3534</v>
      </c>
      <c r="G130" s="10">
        <v>2.2247</v>
      </c>
      <c r="H130" s="11">
        <v>7.6</v>
      </c>
      <c r="I130" s="12">
        <v>30</v>
      </c>
      <c r="J130" s="13">
        <f>(F130-B130)/($F119-$B119)</f>
        <v>0.179385714285714</v>
      </c>
      <c r="K130" s="12">
        <f>(I130-E130)/($F119-$B119)</f>
        <v>1.85714285714286</v>
      </c>
    </row>
    <row r="131" ht="14.25" spans="1:1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</row>
    <row r="132" ht="14.25" spans="1:11">
      <c r="A132" s="14"/>
      <c r="B132" s="15">
        <v>46243.125</v>
      </c>
      <c r="C132" s="16"/>
      <c r="D132" s="16"/>
      <c r="E132" s="17"/>
      <c r="F132" s="15">
        <v>46250.125</v>
      </c>
      <c r="G132" s="16"/>
      <c r="H132" s="16"/>
      <c r="I132" s="17"/>
      <c r="J132" s="14"/>
      <c r="K132" s="14"/>
    </row>
    <row r="133" ht="42.75" spans="1:11">
      <c r="A133" s="18"/>
      <c r="B133" s="19" t="s">
        <v>1</v>
      </c>
      <c r="C133" s="19" t="s">
        <v>2</v>
      </c>
      <c r="D133" s="19" t="s">
        <v>3</v>
      </c>
      <c r="E133" s="19" t="s">
        <v>4</v>
      </c>
      <c r="F133" s="19" t="s">
        <v>1</v>
      </c>
      <c r="G133" s="19" t="s">
        <v>2</v>
      </c>
      <c r="H133" s="19" t="s">
        <v>3</v>
      </c>
      <c r="I133" s="19" t="s">
        <v>4</v>
      </c>
      <c r="J133" s="19" t="s">
        <v>5</v>
      </c>
      <c r="K133" s="20" t="s">
        <v>6</v>
      </c>
    </row>
    <row r="134" ht="14.25" spans="1:11">
      <c r="A134" s="14" t="s">
        <v>41</v>
      </c>
      <c r="B134" s="21">
        <v>6.2433</v>
      </c>
      <c r="C134" s="21">
        <v>6.1728</v>
      </c>
      <c r="D134" s="22">
        <v>7.7</v>
      </c>
      <c r="E134" s="23">
        <v>41</v>
      </c>
      <c r="F134" s="21">
        <v>12.6246</v>
      </c>
      <c r="G134" s="21">
        <v>12.4275</v>
      </c>
      <c r="H134" s="22">
        <v>7.8</v>
      </c>
      <c r="I134" s="23">
        <v>77</v>
      </c>
      <c r="J134" s="24">
        <f>(F134-B134)/($F132-$B132)</f>
        <v>0.911614285714286</v>
      </c>
      <c r="K134" s="23">
        <f>(I134-E134)/($F132-$B132)</f>
        <v>5.14285714285714</v>
      </c>
    </row>
    <row r="135" ht="14.25" spans="1:11">
      <c r="A135" s="14" t="s">
        <v>7</v>
      </c>
      <c r="B135" s="21">
        <v>81.1323</v>
      </c>
      <c r="C135" s="21">
        <v>74.7497</v>
      </c>
      <c r="D135" s="22">
        <v>8.9</v>
      </c>
      <c r="E135" s="23">
        <v>1595</v>
      </c>
      <c r="F135" s="21">
        <v>84.8517</v>
      </c>
      <c r="G135" s="21">
        <v>77.9907</v>
      </c>
      <c r="H135" s="22">
        <v>8.9</v>
      </c>
      <c r="I135" s="23">
        <v>1680</v>
      </c>
      <c r="J135" s="24">
        <f>(F135-B135)/($F132-$B132)</f>
        <v>0.531342857142856</v>
      </c>
      <c r="K135" s="23">
        <f>(I135-E135)/($F132-$B132)</f>
        <v>12.1428571428571</v>
      </c>
    </row>
    <row r="136" ht="14.25" spans="1:11">
      <c r="A136" s="14" t="s">
        <v>8</v>
      </c>
      <c r="B136" s="21">
        <v>71.6547</v>
      </c>
      <c r="C136" s="21">
        <v>69.7432</v>
      </c>
      <c r="D136" s="22">
        <v>8.3</v>
      </c>
      <c r="E136" s="23">
        <v>1102</v>
      </c>
      <c r="F136" s="21">
        <v>74.2915</v>
      </c>
      <c r="G136" s="21">
        <v>72.168</v>
      </c>
      <c r="H136" s="22">
        <v>8.3</v>
      </c>
      <c r="I136" s="23">
        <v>1145</v>
      </c>
      <c r="J136" s="24">
        <f>(F136-B136)/($F132-$B132)</f>
        <v>0.376685714285713</v>
      </c>
      <c r="K136" s="23">
        <f>(I136-E136)/($F132-$B132)</f>
        <v>6.14285714285714</v>
      </c>
    </row>
    <row r="137" ht="14.25" spans="1:11">
      <c r="A137" s="14" t="s">
        <v>23</v>
      </c>
      <c r="B137" s="21">
        <v>14.267</v>
      </c>
      <c r="C137" s="21">
        <v>13.4699</v>
      </c>
      <c r="D137" s="22">
        <v>9.6</v>
      </c>
      <c r="E137" s="23">
        <v>499</v>
      </c>
      <c r="F137" s="21">
        <v>16.378</v>
      </c>
      <c r="G137" s="21">
        <v>15.4574</v>
      </c>
      <c r="H137" s="22">
        <v>9.6</v>
      </c>
      <c r="I137" s="23">
        <v>546</v>
      </c>
      <c r="J137" s="24">
        <f>(F137-B137)/($F132-$B132)</f>
        <v>0.301571428571429</v>
      </c>
      <c r="K137" s="23">
        <f>(I137-E137)/($F132-$B132)</f>
        <v>6.71428571428571</v>
      </c>
    </row>
    <row r="138" ht="14.25" spans="1:11">
      <c r="A138" s="14" t="s">
        <v>45</v>
      </c>
      <c r="B138" s="21">
        <v>0.9532</v>
      </c>
      <c r="C138" s="21">
        <v>0.8435</v>
      </c>
      <c r="D138" s="22">
        <v>9.4</v>
      </c>
      <c r="E138" s="23">
        <v>29</v>
      </c>
      <c r="F138" s="21">
        <v>2.6326</v>
      </c>
      <c r="G138" s="21">
        <v>2.3097</v>
      </c>
      <c r="H138" s="22">
        <v>9.3</v>
      </c>
      <c r="I138" s="23">
        <v>79</v>
      </c>
      <c r="J138" s="24">
        <f>(F138-B138)/($F132-$B132)</f>
        <v>0.239914285714286</v>
      </c>
      <c r="K138" s="23">
        <f>(I138-E138)/($F132-$B132)</f>
        <v>7.14285714285714</v>
      </c>
    </row>
    <row r="139" ht="14.25" spans="1:11">
      <c r="A139" s="14" t="s">
        <v>46</v>
      </c>
      <c r="B139" s="21">
        <v>0.0964</v>
      </c>
      <c r="C139" s="21">
        <v>0.0865</v>
      </c>
      <c r="D139" s="22">
        <v>9.7</v>
      </c>
      <c r="E139" s="23">
        <v>11</v>
      </c>
      <c r="F139" s="21">
        <v>1.7089</v>
      </c>
      <c r="G139" s="21">
        <v>1.5375</v>
      </c>
      <c r="H139" s="22">
        <v>8.9</v>
      </c>
      <c r="I139" s="23">
        <v>33</v>
      </c>
      <c r="J139" s="24">
        <f>(F139-B139)/($F132-$B132)</f>
        <v>0.230357142857143</v>
      </c>
      <c r="K139" s="23">
        <f>(I139-E139)/($F132-$B132)</f>
        <v>3.14285714285714</v>
      </c>
    </row>
    <row r="140" ht="14.25" spans="1:11">
      <c r="A140" s="14" t="s">
        <v>37</v>
      </c>
      <c r="B140" s="21">
        <v>6.3159</v>
      </c>
      <c r="C140" s="21">
        <v>6.3594</v>
      </c>
      <c r="D140" s="22">
        <v>6.8</v>
      </c>
      <c r="E140" s="23">
        <v>63</v>
      </c>
      <c r="F140" s="21">
        <v>7.9136</v>
      </c>
      <c r="G140" s="21">
        <v>7.9694</v>
      </c>
      <c r="H140" s="22">
        <v>7.1</v>
      </c>
      <c r="I140" s="23">
        <v>70</v>
      </c>
      <c r="J140" s="24">
        <f>(F140-B140)/($F132-$B132)</f>
        <v>0.228242857142857</v>
      </c>
      <c r="K140" s="23">
        <f>(I140-E140)/($F132-$B132)</f>
        <v>1</v>
      </c>
    </row>
    <row r="141" ht="14.25" spans="1:11">
      <c r="A141" s="14" t="s">
        <v>47</v>
      </c>
      <c r="B141" s="21">
        <v>0.7785</v>
      </c>
      <c r="C141" s="21">
        <v>0.7274</v>
      </c>
      <c r="D141" s="22">
        <v>8.5</v>
      </c>
      <c r="E141" s="23">
        <v>30</v>
      </c>
      <c r="F141" s="21">
        <v>2.2933</v>
      </c>
      <c r="G141" s="21">
        <v>2.1347</v>
      </c>
      <c r="H141" s="22">
        <v>7.6</v>
      </c>
      <c r="I141" s="23">
        <v>86</v>
      </c>
      <c r="J141" s="24">
        <f>(F141-B141)/($F132-$B132)</f>
        <v>0.2164</v>
      </c>
      <c r="K141" s="23">
        <f>(I141-E141)/($F132-$B132)</f>
        <v>8</v>
      </c>
    </row>
    <row r="142" ht="14.25" spans="1:11">
      <c r="A142" s="14" t="s">
        <v>42</v>
      </c>
      <c r="B142" s="21">
        <v>3.2177</v>
      </c>
      <c r="C142" s="21">
        <v>3.0027</v>
      </c>
      <c r="D142" s="22">
        <v>9</v>
      </c>
      <c r="E142" s="23">
        <v>121</v>
      </c>
      <c r="F142" s="21">
        <v>4.6873</v>
      </c>
      <c r="G142" s="21">
        <v>4.3669</v>
      </c>
      <c r="H142" s="22">
        <v>8.9</v>
      </c>
      <c r="I142" s="23">
        <v>187</v>
      </c>
      <c r="J142" s="24">
        <f>(F142-B142)/($F132-$B132)</f>
        <v>0.209942857142857</v>
      </c>
      <c r="K142" s="23">
        <f>(I142-E142)/($F132-$B132)</f>
        <v>9.42857142857143</v>
      </c>
    </row>
    <row r="143" ht="14.25" spans="1:11">
      <c r="A143" s="14" t="s">
        <v>26</v>
      </c>
      <c r="B143" s="21">
        <v>11.0739</v>
      </c>
      <c r="C143" s="21">
        <v>10.382</v>
      </c>
      <c r="D143" s="22">
        <v>9.1</v>
      </c>
      <c r="E143" s="23">
        <v>292</v>
      </c>
      <c r="F143" s="21">
        <v>12.5275</v>
      </c>
      <c r="G143" s="21">
        <v>11.7332</v>
      </c>
      <c r="H143" s="22">
        <v>9.1</v>
      </c>
      <c r="I143" s="23">
        <v>321</v>
      </c>
      <c r="J143" s="24">
        <f>(F143-B143)/($F132-$B132)</f>
        <v>0.207657142857143</v>
      </c>
      <c r="K143" s="23">
        <f>(I143-E143)/($F132-$B132)</f>
        <v>4.14285714285714</v>
      </c>
    </row>
  </sheetData>
  <mergeCells count="33">
    <mergeCell ref="A1:K1"/>
    <mergeCell ref="B2:E2"/>
    <mergeCell ref="F2:I2"/>
    <mergeCell ref="A14:K14"/>
    <mergeCell ref="B15:E15"/>
    <mergeCell ref="F15:I15"/>
    <mergeCell ref="A27:K27"/>
    <mergeCell ref="B28:E28"/>
    <mergeCell ref="F28:I28"/>
    <mergeCell ref="A40:K40"/>
    <mergeCell ref="B41:E41"/>
    <mergeCell ref="F41:I41"/>
    <mergeCell ref="A53:K53"/>
    <mergeCell ref="B54:E54"/>
    <mergeCell ref="F54:I54"/>
    <mergeCell ref="A66:K66"/>
    <mergeCell ref="B67:E67"/>
    <mergeCell ref="F67:I67"/>
    <mergeCell ref="A79:K79"/>
    <mergeCell ref="B80:E80"/>
    <mergeCell ref="F80:I80"/>
    <mergeCell ref="A92:K92"/>
    <mergeCell ref="B93:E93"/>
    <mergeCell ref="F93:I93"/>
    <mergeCell ref="A105:K105"/>
    <mergeCell ref="B106:E106"/>
    <mergeCell ref="F106:I106"/>
    <mergeCell ref="A118:K118"/>
    <mergeCell ref="B119:E119"/>
    <mergeCell ref="F119:I119"/>
    <mergeCell ref="A131:K131"/>
    <mergeCell ref="B132:E132"/>
    <mergeCell ref="F132:I132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吴昊</cp:lastModifiedBy>
  <dcterms:created xsi:type="dcterms:W3CDTF">2023-05-12T11:15:00Z</dcterms:created>
  <dcterms:modified xsi:type="dcterms:W3CDTF">2026-08-16T02:58:00Z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F8BB6A28A97A45C691E337569A11E3D5_12</vt:lpwstr>
  </property>
  <property fmtid="{D5CDD505-2E9C-101B-9397-08002B2CF9AE}" pid="4" name="CalculationRule">
    <vt:i4>0</vt:i4>
  </property>
</Properties>
</file>